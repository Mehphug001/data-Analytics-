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skmeh\OneDrive\Desktop\Data Analysis Course\"/>
    </mc:Choice>
  </mc:AlternateContent>
  <xr:revisionPtr revIDLastSave="0" documentId="8_{A0D9F201-C8F1-4A47-AD9F-DD2FB0CB9A6A}" xr6:coauthVersionLast="47" xr6:coauthVersionMax="47" xr10:uidLastSave="{00000000-0000-0000-0000-000000000000}"/>
  <bookViews>
    <workbookView xWindow="-108" yWindow="-108" windowWidth="23256" windowHeight="12456" tabRatio="881" activeTab="7" xr2:uid="{00000000-000D-0000-FFFF-FFFF00000000}"/>
  </bookViews>
  <sheets>
    <sheet name="VLOOKUP" sheetId="1" r:id="rId1"/>
    <sheet name="EMP" sheetId="2" r:id="rId2"/>
    <sheet name="EMP_JOB" sheetId="3" r:id="rId3"/>
    <sheet name="EMP_CONTACT" sheetId="4" r:id="rId4"/>
    <sheet name="EMP_ALL" sheetId="5" r:id="rId5"/>
    <sheet name="AOTO_UPDATE" sheetId="6" r:id="rId6"/>
    <sheet name="RANGELOOKUP" sheetId="7" r:id="rId7"/>
    <sheet name="RANGE_GRADE" sheetId="8" r:id="rId8"/>
    <sheet name="YEAR_OF_SERVICE" sheetId="18" state="hidden" r:id="rId9"/>
    <sheet name="Sheet1" sheetId="14" state="hidden" r:id="rId10"/>
    <sheet name="ifvlookup" sheetId="15" r:id="rId11"/>
    <sheet name="DOUBLE_VLOOKUP" sheetId="16" r:id="rId12"/>
    <sheet name="HLOOKUP" sheetId="9" r:id="rId13"/>
    <sheet name="INDEX" sheetId="10" r:id="rId14"/>
    <sheet name="MATCH" sheetId="11" r:id="rId15"/>
    <sheet name="INDEX&amp;MATCH" sheetId="12" r:id="rId16"/>
    <sheet name="MORE_MATCH" sheetId="13" r:id="rId17"/>
  </sheets>
  <externalReferences>
    <externalReference r:id="rId18"/>
  </externalReferences>
  <definedNames>
    <definedName name="AVGGRADE">RANGE_GRADE!$O$4:$P$8</definedName>
    <definedName name="BTPS">Sheet1!$D$2:$E$6</definedName>
    <definedName name="Data">#REF!</definedName>
    <definedName name="good">RANGELOOKUP!$F$5:$G$10</definedName>
    <definedName name="GOODEMAIL">EMP_CONTACT!$L$10</definedName>
    <definedName name="GOODLOCATION">EMP_JOB!$B$5:$F$10</definedName>
    <definedName name="KTPS">Sheet1!$J$2:$K$6</definedName>
    <definedName name="lookup">RANGE_GRADE!$O$5:$P$8</definedName>
    <definedName name="Mehphug">VLOOKUP!$A$1:$H$24</definedName>
    <definedName name="Mehphug_BASIC">VLOOKUP!$H$1:$H$24</definedName>
    <definedName name="MEHPHUG_COMM">RANGELOOKUP!$F$4:$G$10</definedName>
    <definedName name="MEHPHUG_EMP">Table2[]</definedName>
    <definedName name="Mehphug_grade">RANGE_GRADE!$L$4:$M$8</definedName>
    <definedName name="MIS">ifvlookup!#REF!</definedName>
    <definedName name="MOBILE">ifvlookup!#REF!</definedName>
    <definedName name="NAME">ifvlookup!#REF!</definedName>
    <definedName name="pradipmobile">ifvlookup!#REF!</definedName>
    <definedName name="pradipname">ifvlookup!#REF!</definedName>
    <definedName name="Product_ID">ifvlookup!$A$1:$A$6</definedName>
    <definedName name="Product_name">ifvlookup!$B$1:$B$6</definedName>
    <definedName name="range2">INDEX!$A$7:$E$13</definedName>
    <definedName name="SABIR">ifvlookup!$B$14:$B$18</definedName>
    <definedName name="saha">EMP_CONTACT!$D$12</definedName>
    <definedName name="SANGRADE">RANGE_GRADE!$L$5:$M$8</definedName>
    <definedName name="sheet">#REF!</definedName>
    <definedName name="STPS">Sheet1!$G$2:$H$6</definedName>
    <definedName name="wil_contact">EMP_CONTACT!$B$5:$D$10</definedName>
    <definedName name="wil_emp">EMP!$A$5:$C$28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8" l="1"/>
  <c r="J7" i="8"/>
  <c r="J8" i="8"/>
  <c r="J9" i="8"/>
  <c r="J5" i="8"/>
  <c r="D6" i="7"/>
  <c r="D7" i="7"/>
  <c r="D8" i="7"/>
  <c r="D9" i="7"/>
  <c r="D10" i="7"/>
  <c r="D5" i="7"/>
  <c r="C6" i="7"/>
  <c r="C7" i="7"/>
  <c r="C8" i="7"/>
  <c r="C9" i="7"/>
  <c r="C10" i="7"/>
  <c r="C5" i="7"/>
  <c r="L11" i="4"/>
  <c r="M11" i="4"/>
  <c r="N11" i="4"/>
  <c r="O11" i="4"/>
  <c r="L12" i="4"/>
  <c r="M12" i="4"/>
  <c r="N12" i="4"/>
  <c r="O12" i="4"/>
  <c r="L13" i="4"/>
  <c r="M13" i="4"/>
  <c r="N13" i="4"/>
  <c r="O13" i="4"/>
  <c r="L14" i="4"/>
  <c r="M14" i="4"/>
  <c r="N14" i="4"/>
  <c r="O14" i="4"/>
  <c r="N10" i="4"/>
  <c r="O10" i="4"/>
  <c r="M10" i="4"/>
  <c r="L10" i="4"/>
  <c r="L6" i="1"/>
  <c r="K6" i="1"/>
  <c r="J6" i="2"/>
  <c r="A41" i="1"/>
  <c r="A40" i="1"/>
  <c r="E12" i="5"/>
  <c r="D12" i="5"/>
  <c r="C12" i="5"/>
  <c r="E8" i="15" l="1"/>
  <c r="F7" i="15"/>
  <c r="E7" i="15"/>
  <c r="E3" i="15"/>
  <c r="H2" i="15"/>
  <c r="G2" i="15"/>
  <c r="C21" i="5"/>
  <c r="M3" i="16"/>
  <c r="N3" i="16" s="1"/>
  <c r="M2" i="16"/>
  <c r="O2" i="16" s="1"/>
  <c r="J3" i="9"/>
  <c r="I3" i="9"/>
  <c r="H3" i="9"/>
  <c r="I2" i="9"/>
  <c r="H2" i="9"/>
  <c r="F6" i="12"/>
  <c r="G5" i="12"/>
  <c r="G4" i="12"/>
  <c r="C21" i="11"/>
  <c r="C20" i="11"/>
  <c r="B16" i="16"/>
  <c r="N2" i="16" l="1"/>
  <c r="O3" i="16"/>
  <c r="G6" i="12"/>
  <c r="I17" i="16"/>
  <c r="L12" i="16"/>
  <c r="E15" i="15" l="1"/>
  <c r="C7" i="12" l="1"/>
  <c r="E5" i="12"/>
  <c r="E4" i="12"/>
  <c r="E7" i="12"/>
  <c r="B7" i="12"/>
  <c r="B12" i="16" l="1"/>
  <c r="F12" i="16" s="1"/>
  <c r="K3" i="13" l="1"/>
  <c r="G3" i="13"/>
  <c r="B3" i="14"/>
  <c r="C17" i="11" l="1"/>
  <c r="C25" i="11"/>
  <c r="C24" i="11"/>
  <c r="J20" i="11"/>
  <c r="C18" i="11"/>
  <c r="E13" i="11"/>
  <c r="E12" i="11"/>
  <c r="E11" i="11"/>
  <c r="E10" i="11"/>
  <c r="E9" i="11"/>
  <c r="E8" i="11"/>
  <c r="D22" i="10"/>
  <c r="C22" i="10"/>
  <c r="D21" i="10"/>
  <c r="C21" i="10"/>
  <c r="H20" i="10"/>
  <c r="D17" i="10"/>
  <c r="C17" i="10"/>
  <c r="B17" i="10"/>
  <c r="E13" i="10"/>
  <c r="E12" i="10"/>
  <c r="E11" i="10"/>
  <c r="E10" i="10"/>
  <c r="E9" i="10"/>
  <c r="E8" i="10"/>
  <c r="J2" i="9"/>
  <c r="H9" i="8" l="1"/>
  <c r="G9" i="8"/>
  <c r="H8" i="8"/>
  <c r="G8" i="8"/>
  <c r="H7" i="8"/>
  <c r="G7" i="8"/>
  <c r="H6" i="8"/>
  <c r="G6" i="8"/>
  <c r="H5" i="8"/>
  <c r="G5" i="8"/>
  <c r="C6" i="6"/>
  <c r="G5" i="5"/>
  <c r="G4" i="5"/>
  <c r="G3" i="5"/>
  <c r="G2" i="5"/>
  <c r="G1" i="5"/>
</calcChain>
</file>

<file path=xl/sharedStrings.xml><?xml version="1.0" encoding="utf-8"?>
<sst xmlns="http://schemas.openxmlformats.org/spreadsheetml/2006/main" count="517" uniqueCount="194">
  <si>
    <t>MIS NO</t>
  </si>
  <si>
    <t>NAME</t>
  </si>
  <si>
    <t>PLANT</t>
  </si>
  <si>
    <t>GENDER</t>
  </si>
  <si>
    <t>DOB</t>
  </si>
  <si>
    <t>DEPT</t>
  </si>
  <si>
    <t>DESG</t>
  </si>
  <si>
    <t>BASIC</t>
  </si>
  <si>
    <t>PANKAJ</t>
  </si>
  <si>
    <t>BTPS</t>
  </si>
  <si>
    <t>M</t>
  </si>
  <si>
    <t>HR&amp;A</t>
  </si>
  <si>
    <t>AM</t>
  </si>
  <si>
    <t>SOMA</t>
  </si>
  <si>
    <t>F</t>
  </si>
  <si>
    <t>FA&amp;A</t>
  </si>
  <si>
    <t>MANAGER</t>
  </si>
  <si>
    <t>DOLA</t>
  </si>
  <si>
    <t>SM</t>
  </si>
  <si>
    <t>TONY</t>
  </si>
  <si>
    <t>SGTPP</t>
  </si>
  <si>
    <t>BONY</t>
  </si>
  <si>
    <t>AMAN</t>
  </si>
  <si>
    <t>SANJU</t>
  </si>
  <si>
    <t>MANJU</t>
  </si>
  <si>
    <t>SINTU</t>
  </si>
  <si>
    <t>JM</t>
  </si>
  <si>
    <t>ROMA</t>
  </si>
  <si>
    <t>KTPS</t>
  </si>
  <si>
    <t>RONY</t>
  </si>
  <si>
    <t>BKTPP</t>
  </si>
  <si>
    <t>SARKAR</t>
  </si>
  <si>
    <t>ROHIT</t>
  </si>
  <si>
    <t>BANI</t>
  </si>
  <si>
    <t>Mrs. Roy</t>
  </si>
  <si>
    <t>NEHA</t>
  </si>
  <si>
    <t>IT</t>
  </si>
  <si>
    <t>ZOYA</t>
  </si>
  <si>
    <t>STPS</t>
  </si>
  <si>
    <t>SANJIB</t>
  </si>
  <si>
    <r>
      <t>=vlookup(</t>
    </r>
    <r>
      <rPr>
        <b/>
        <sz val="16"/>
        <color rgb="FFFFFF00"/>
        <rFont val="Calibri"/>
        <family val="2"/>
        <scheme val="minor"/>
      </rPr>
      <t>lookup_value</t>
    </r>
    <r>
      <rPr>
        <b/>
        <sz val="16"/>
        <color theme="0"/>
        <rFont val="Calibri"/>
        <family val="2"/>
        <scheme val="minor"/>
      </rPr>
      <t>,table_array,col_index_num,true(1) or false (0))</t>
    </r>
  </si>
  <si>
    <t>=VLOOKUP(A22,A1:H19,2,0)</t>
  </si>
  <si>
    <t>Employee Personal Details</t>
  </si>
  <si>
    <t>Sheet 1</t>
  </si>
  <si>
    <t>ID</t>
  </si>
  <si>
    <t>AGE</t>
  </si>
  <si>
    <t>ANIL</t>
  </si>
  <si>
    <t>PRIYA</t>
  </si>
  <si>
    <t>GEETA</t>
  </si>
  <si>
    <t>SENA</t>
  </si>
  <si>
    <t>Employee Job Details</t>
  </si>
  <si>
    <t>Sheet 2</t>
  </si>
  <si>
    <t>LOCATION</t>
  </si>
  <si>
    <t>DEPARTMENT</t>
  </si>
  <si>
    <t>DESIGNATION</t>
  </si>
  <si>
    <t>SALARY</t>
  </si>
  <si>
    <t>AM(PS)</t>
  </si>
  <si>
    <t>CORPORATE</t>
  </si>
  <si>
    <t>DGM</t>
  </si>
  <si>
    <t>Employee Contact Details</t>
  </si>
  <si>
    <t>Sheet 3</t>
  </si>
  <si>
    <t>Mobile</t>
  </si>
  <si>
    <t>Email</t>
  </si>
  <si>
    <t>a101@wbpdcl.co.in</t>
  </si>
  <si>
    <t>a103@wbpdcl.co.in</t>
  </si>
  <si>
    <t>a104@wbpdcl.co.in</t>
  </si>
  <si>
    <t>a102@wbpdcl.co.in</t>
  </si>
  <si>
    <t>Employee Details</t>
  </si>
  <si>
    <t>SHEET1</t>
  </si>
  <si>
    <t>SHEET2</t>
  </si>
  <si>
    <t>SHEET3</t>
  </si>
  <si>
    <t>AUTO UPDATE TABLE + VLOOKUP FUNCTION</t>
  </si>
  <si>
    <t>Department</t>
  </si>
  <si>
    <t>Itgfhg</t>
  </si>
  <si>
    <t xml:space="preserve"> VLOOKUP FUNCTION TO CALCULATE COMMISSION</t>
  </si>
  <si>
    <t>Name</t>
  </si>
  <si>
    <t>Sales</t>
  </si>
  <si>
    <t>Comm%</t>
  </si>
  <si>
    <t>Commission</t>
  </si>
  <si>
    <t>Riya</t>
  </si>
  <si>
    <t>Raj</t>
  </si>
  <si>
    <t>Aditi</t>
  </si>
  <si>
    <t>King</t>
  </si>
  <si>
    <t>Pinku</t>
  </si>
  <si>
    <t>Chung</t>
  </si>
  <si>
    <t>Plant</t>
  </si>
  <si>
    <t>JAN</t>
  </si>
  <si>
    <t>FEB</t>
  </si>
  <si>
    <t>MARCH</t>
  </si>
  <si>
    <t>April</t>
  </si>
  <si>
    <t>May</t>
  </si>
  <si>
    <t>TOTAL</t>
  </si>
  <si>
    <t>AVG</t>
  </si>
  <si>
    <t>Grade</t>
  </si>
  <si>
    <t>Grade Vlookup</t>
  </si>
  <si>
    <t>AVERAGE</t>
  </si>
  <si>
    <t>GRADE</t>
  </si>
  <si>
    <t>D</t>
  </si>
  <si>
    <t>SgTPP</t>
  </si>
  <si>
    <t>C</t>
  </si>
  <si>
    <t>B</t>
  </si>
  <si>
    <t>BkTPP</t>
  </si>
  <si>
    <t>A</t>
  </si>
  <si>
    <t>Invoiceno</t>
  </si>
  <si>
    <t>INVOICE</t>
  </si>
  <si>
    <t>VNAME</t>
  </si>
  <si>
    <t>AMOUNT</t>
  </si>
  <si>
    <t>JOB</t>
  </si>
  <si>
    <t>Vendor Name</t>
  </si>
  <si>
    <t>AMBAR</t>
  </si>
  <si>
    <t>AKBAR</t>
  </si>
  <si>
    <t>ANTHONY</t>
  </si>
  <si>
    <t>Amount</t>
  </si>
  <si>
    <t>Job Status</t>
  </si>
  <si>
    <t>P</t>
  </si>
  <si>
    <t>HLOOKUP</t>
  </si>
  <si>
    <r>
      <t xml:space="preserve">Searches for a value in the top row of a table or an array (array: Used to build single formulas that produce multiple results or that operate on a group of arguments that are arranged in rows and columns. An array range shares a common formula; an array constant is a group of constants used as an argument.) of values, and then returns a value in the same column from a row you specify in the table or array. Use HLOOKUP when your comparison values are located in a row across the top of a table of data, and you want to look down a specified number of rows. Use VLOOKUP when your comparison values are located in a column to the left of the data you want to find.
The H in HLOOKUP stands for "Horizontal."
Syntax
</t>
    </r>
    <r>
      <rPr>
        <b/>
        <sz val="22"/>
        <color rgb="FFFF0000"/>
        <rFont val="Calibri"/>
        <family val="2"/>
        <scheme val="minor"/>
      </rPr>
      <t xml:space="preserve">
HLOOKUP(lookup_value,table_array,row_index_num,range_lookup)</t>
    </r>
    <r>
      <rPr>
        <sz val="11"/>
        <color theme="1"/>
        <rFont val="Calibri"/>
        <family val="2"/>
        <scheme val="minor"/>
      </rPr>
      <t xml:space="preserve">
</t>
    </r>
  </si>
  <si>
    <t>INDEX  FUNCTION</t>
  </si>
  <si>
    <r>
      <t xml:space="preserve">Returns the value of an element in a table or an array
Use the array form if the first argument to INDEX is an array constant.
</t>
    </r>
    <r>
      <rPr>
        <b/>
        <sz val="20"/>
        <color rgb="FFFF0000"/>
        <rFont val="Calibri"/>
        <family val="2"/>
        <scheme val="minor"/>
      </rPr>
      <t>INDEX(array,</t>
    </r>
    <r>
      <rPr>
        <b/>
        <sz val="20"/>
        <color theme="3" tint="0.39997558519241921"/>
        <rFont val="Calibri"/>
        <family val="2"/>
        <scheme val="minor"/>
      </rPr>
      <t>row_num</t>
    </r>
    <r>
      <rPr>
        <b/>
        <sz val="20"/>
        <color rgb="FFFF0000"/>
        <rFont val="Calibri"/>
        <family val="2"/>
        <scheme val="minor"/>
      </rPr>
      <t>,</t>
    </r>
    <r>
      <rPr>
        <b/>
        <sz val="20"/>
        <color rgb="FF00B050"/>
        <rFont val="Calibri"/>
        <family val="2"/>
        <scheme val="minor"/>
      </rPr>
      <t>column_num</t>
    </r>
    <r>
      <rPr>
        <b/>
        <sz val="20"/>
        <color rgb="FFFF0000"/>
        <rFont val="Calibri"/>
        <family val="2"/>
        <scheme val="minor"/>
      </rPr>
      <t xml:space="preserve">)
Array   is a range of cells or an array constant.
</t>
    </r>
    <r>
      <rPr>
        <b/>
        <sz val="20"/>
        <color theme="3" tint="0.39997558519241921"/>
        <rFont val="Calibri"/>
        <family val="2"/>
        <scheme val="minor"/>
      </rPr>
      <t>Row_num   selects the row in array from which to return a value. If row_num is omitted, column_num is required.</t>
    </r>
    <r>
      <rPr>
        <b/>
        <sz val="20"/>
        <color rgb="FFFF0000"/>
        <rFont val="Calibri"/>
        <family val="2"/>
        <scheme val="minor"/>
      </rPr>
      <t xml:space="preserve">
</t>
    </r>
    <r>
      <rPr>
        <b/>
        <sz val="20"/>
        <color rgb="FF00B050"/>
        <rFont val="Calibri"/>
        <family val="2"/>
        <scheme val="minor"/>
      </rPr>
      <t>Column_num   selects the column in array from which to return a value. If column_num is omitted, row_num is required.</t>
    </r>
    <r>
      <rPr>
        <b/>
        <sz val="20"/>
        <color rgb="FFFF0000"/>
        <rFont val="Calibri"/>
        <family val="2"/>
        <scheme val="minor"/>
      </rPr>
      <t xml:space="preserve">
</t>
    </r>
    <r>
      <rPr>
        <sz val="11"/>
        <color theme="1"/>
        <rFont val="Calibri"/>
        <family val="2"/>
        <scheme val="minor"/>
      </rPr>
      <t xml:space="preserve">
</t>
    </r>
  </si>
  <si>
    <t>PRODUCT ID</t>
  </si>
  <si>
    <t>PRODUCT NAME</t>
  </si>
  <si>
    <t>QTY</t>
  </si>
  <si>
    <t>RATE</t>
  </si>
  <si>
    <t>P001</t>
  </si>
  <si>
    <t>KEYBOARD</t>
  </si>
  <si>
    <t>P002</t>
  </si>
  <si>
    <t>MOUSE</t>
  </si>
  <si>
    <t>P003</t>
  </si>
  <si>
    <t>HDD</t>
  </si>
  <si>
    <t>P004</t>
  </si>
  <si>
    <t>LCD</t>
  </si>
  <si>
    <t>P005</t>
  </si>
  <si>
    <t>PEN DRIVE</t>
  </si>
  <si>
    <t>P006</t>
  </si>
  <si>
    <t>DVD</t>
  </si>
  <si>
    <t>INDEX</t>
  </si>
  <si>
    <t>VLOOKUP</t>
  </si>
  <si>
    <t>MATCH  FUNCTION</t>
  </si>
  <si>
    <r>
      <rPr>
        <b/>
        <sz val="24"/>
        <color rgb="FFFF0000"/>
        <rFont val="Calibri"/>
        <family val="2"/>
        <scheme val="minor"/>
      </rPr>
      <t xml:space="preserve">Returns the relative position of an item in an array </t>
    </r>
    <r>
      <rPr>
        <sz val="11"/>
        <color theme="1"/>
        <rFont val="Calibri"/>
        <family val="2"/>
        <scheme val="minor"/>
      </rPr>
      <t xml:space="preserve"> Used to build single formulas that produce multiple results or that operate on a group of arguments that are arranged in rows and columns. An array range shares a common formula; an array constant is a group of constants used as an argument.) that matches a specified value in a specified order. Use MATCH instead of one of the LOOKUP functions when you need the position of an item in a range instead of the item itself.
</t>
    </r>
    <r>
      <rPr>
        <b/>
        <sz val="16"/>
        <rFont val="Calibri"/>
        <family val="2"/>
        <scheme val="minor"/>
      </rPr>
      <t>MATCH</t>
    </r>
    <r>
      <rPr>
        <b/>
        <sz val="16"/>
        <color rgb="FFFF0000"/>
        <rFont val="Calibri"/>
        <family val="2"/>
        <scheme val="minor"/>
      </rPr>
      <t>(lookup_value,</t>
    </r>
    <r>
      <rPr>
        <b/>
        <sz val="16"/>
        <color rgb="FF00B0F0"/>
        <rFont val="Calibri"/>
        <family val="2"/>
        <scheme val="minor"/>
      </rPr>
      <t>lookup_array</t>
    </r>
    <r>
      <rPr>
        <b/>
        <sz val="16"/>
        <color rgb="FFFF0000"/>
        <rFont val="Calibri"/>
        <family val="2"/>
        <scheme val="minor"/>
      </rPr>
      <t>,</t>
    </r>
    <r>
      <rPr>
        <b/>
        <sz val="16"/>
        <color rgb="FF00B050"/>
        <rFont val="Calibri"/>
        <family val="2"/>
        <scheme val="minor"/>
      </rPr>
      <t>match_type</t>
    </r>
    <r>
      <rPr>
        <b/>
        <sz val="16"/>
        <color rgb="FFFF0000"/>
        <rFont val="Calibri"/>
        <family val="2"/>
        <scheme val="minor"/>
      </rPr>
      <t xml:space="preserve">)
Lookup_value   is the value you use to find the value you want in a table.
</t>
    </r>
    <r>
      <rPr>
        <b/>
        <sz val="16"/>
        <color theme="3" tint="0.39997558519241921"/>
        <rFont val="Calibri"/>
        <family val="2"/>
        <scheme val="minor"/>
      </rPr>
      <t xml:space="preserve">Lookup_array   is a contiguous range of cells containing possible lookup values. Lookup_array must be an array or an array reference.
</t>
    </r>
    <r>
      <rPr>
        <b/>
        <sz val="16"/>
        <color rgb="FF00B050"/>
        <rFont val="Calibri"/>
        <family val="2"/>
        <scheme val="minor"/>
      </rPr>
      <t>Match_type   is the number -1, 0, or 1. Match_type specifies how Microsoft Excel matches lookup_value with values in lookup_array.</t>
    </r>
    <r>
      <rPr>
        <b/>
        <sz val="20"/>
        <color rgb="FFFF0000"/>
        <rFont val="Calibri"/>
        <family val="2"/>
        <scheme val="minor"/>
      </rPr>
      <t xml:space="preserve">
</t>
    </r>
    <r>
      <rPr>
        <sz val="11"/>
        <color theme="1"/>
        <rFont val="Calibri"/>
        <family val="2"/>
        <scheme val="minor"/>
      </rPr>
      <t xml:space="preserve">
</t>
    </r>
  </si>
  <si>
    <t>MATCH</t>
  </si>
  <si>
    <t>POSITION</t>
  </si>
  <si>
    <t>ROW WISE</t>
  </si>
  <si>
    <t>COULMN WISE</t>
  </si>
  <si>
    <t>INDEX &amp; MATCH FUNCTION</t>
  </si>
  <si>
    <t>SR.NO</t>
  </si>
  <si>
    <t>BILLNO</t>
  </si>
  <si>
    <t>AMT</t>
  </si>
  <si>
    <t>SG-01</t>
  </si>
  <si>
    <t>LOOKUP</t>
  </si>
  <si>
    <t>SG-02*</t>
  </si>
  <si>
    <t>SG-02</t>
  </si>
  <si>
    <t>SG-03</t>
  </si>
  <si>
    <t>SG-04</t>
  </si>
  <si>
    <t>MATCH is an Excel function used to locate the position of a lookup value in a row, column, or table. MATCH supports approximate and exact matching, and wildcards (* ?) for partial matches. Often, the INDEX function is combined with MATCH to retrieve the value at the position returned by MATCH.</t>
  </si>
  <si>
    <t>SG-05</t>
  </si>
  <si>
    <t>SG-06</t>
  </si>
  <si>
    <t>SG-07</t>
  </si>
  <si>
    <t>SG-100</t>
  </si>
  <si>
    <t>SG-215</t>
  </si>
  <si>
    <t>SG-220</t>
  </si>
  <si>
    <r>
      <rPr>
        <b/>
        <sz val="14"/>
        <color rgb="FFFF0000"/>
        <rFont val="Calibri"/>
        <family val="2"/>
        <scheme val="minor"/>
      </rPr>
      <t xml:space="preserve">Purpose </t>
    </r>
    <r>
      <rPr>
        <sz val="14"/>
        <color theme="1"/>
        <rFont val="Calibri"/>
        <family val="2"/>
        <scheme val="minor"/>
      </rPr>
      <t xml:space="preserve">
Get the position of an item in an array
</t>
    </r>
    <r>
      <rPr>
        <b/>
        <sz val="14"/>
        <color rgb="FFFF0000"/>
        <rFont val="Calibri"/>
        <family val="2"/>
        <scheme val="minor"/>
      </rPr>
      <t xml:space="preserve">Return value </t>
    </r>
    <r>
      <rPr>
        <sz val="14"/>
        <color theme="1"/>
        <rFont val="Calibri"/>
        <family val="2"/>
        <scheme val="minor"/>
      </rPr>
      <t xml:space="preserve">
A number representing a position in lookup_array.
</t>
    </r>
    <r>
      <rPr>
        <b/>
        <sz val="14"/>
        <color rgb="FFFF0000"/>
        <rFont val="Calibri"/>
        <family val="2"/>
        <scheme val="minor"/>
      </rPr>
      <t xml:space="preserve">Syntax </t>
    </r>
    <r>
      <rPr>
        <sz val="14"/>
        <color theme="1"/>
        <rFont val="Calibri"/>
        <family val="2"/>
        <scheme val="minor"/>
      </rPr>
      <t xml:space="preserve">
</t>
    </r>
    <r>
      <rPr>
        <b/>
        <sz val="20"/>
        <color rgb="FFFF0000"/>
        <rFont val="Calibri"/>
        <family val="2"/>
        <scheme val="minor"/>
      </rPr>
      <t>=MATCH (lookup_value, lookup_array, [match_type])</t>
    </r>
    <r>
      <rPr>
        <sz val="14"/>
        <color theme="1"/>
        <rFont val="Calibri"/>
        <family val="2"/>
        <scheme val="minor"/>
      </rPr>
      <t xml:space="preserve">
</t>
    </r>
    <r>
      <rPr>
        <b/>
        <sz val="14"/>
        <color rgb="FFFF0000"/>
        <rFont val="Calibri"/>
        <family val="2"/>
        <scheme val="minor"/>
      </rPr>
      <t xml:space="preserve">Arguments </t>
    </r>
    <r>
      <rPr>
        <sz val="14"/>
        <color theme="1"/>
        <rFont val="Calibri"/>
        <family val="2"/>
        <scheme val="minor"/>
      </rPr>
      <t xml:space="preserve">
lookup_value - The value to match in lookup_array.
lookup_array - A range of cells or an array reference.
match_type - [optional] How to match, specified as -1, 0, or 1. Default is 1.
Usage notes 
</t>
    </r>
    <r>
      <rPr>
        <b/>
        <sz val="14"/>
        <color rgb="FF7030A0"/>
        <rFont val="Calibri"/>
        <family val="2"/>
        <scheme val="minor"/>
      </rPr>
      <t>Use the MATCH function to get the relative position of an item in an array. Match offers several different matching modes, which makes it more flexible than other lookup functions. Used together with INDEX, MATCH can retrieve the value at the matched position.</t>
    </r>
    <r>
      <rPr>
        <sz val="14"/>
        <color theme="1"/>
        <rFont val="Calibri"/>
        <family val="2"/>
        <scheme val="minor"/>
      </rPr>
      <t xml:space="preserve">
MATCH returns a position. To retrieve a value, see How to use INDEX and MATCH.
Match type information
</t>
    </r>
    <r>
      <rPr>
        <b/>
        <sz val="14"/>
        <color rgb="FF0070C0"/>
        <rFont val="Calibri"/>
        <family val="2"/>
        <scheme val="minor"/>
      </rPr>
      <t>If match_type is 1, MATCH finds the largest value that is less than or equal to lookup_value. The lookup_array must be sorted in ascending order.
If match_type is 0, MATCH finds the first value exactly equal to lookup_value. lookup_array does not need to be sorted.</t>
    </r>
    <r>
      <rPr>
        <sz val="14"/>
        <color theme="1"/>
        <rFont val="Calibri"/>
        <family val="2"/>
        <scheme val="minor"/>
      </rPr>
      <t xml:space="preserve">
</t>
    </r>
    <r>
      <rPr>
        <b/>
        <sz val="14"/>
        <color rgb="FF0070C0"/>
        <rFont val="Calibri"/>
        <family val="2"/>
        <scheme val="minor"/>
      </rPr>
      <t>If match_type is -1, MATCH finds the smallest value that is greater than or equal to lookup_value. The lookup_array must be sorted in descending order.</t>
    </r>
    <r>
      <rPr>
        <sz val="14"/>
        <color rgb="FF0070C0"/>
        <rFont val="Calibri"/>
        <family val="2"/>
        <scheme val="minor"/>
      </rPr>
      <t xml:space="preserve">
If match_type is omitted, it is assumed to be 1.
Note: All match types will find an exact match.</t>
    </r>
  </si>
  <si>
    <t>SG-275</t>
  </si>
  <si>
    <t>SG-313</t>
  </si>
  <si>
    <t>SG-333</t>
  </si>
  <si>
    <t>Emp_numbers</t>
  </si>
  <si>
    <t>Numbers 
of Employee</t>
  </si>
  <si>
    <t>CIVIL</t>
  </si>
  <si>
    <t>HR</t>
  </si>
  <si>
    <t>FA</t>
  </si>
  <si>
    <t>Product_name</t>
  </si>
  <si>
    <t>Product_ID</t>
  </si>
  <si>
    <t>Qty</t>
  </si>
  <si>
    <t>Mouse</t>
  </si>
  <si>
    <t>Keyboard</t>
  </si>
  <si>
    <t>Tab</t>
  </si>
  <si>
    <t>Airpod</t>
  </si>
  <si>
    <t>Smart Watch</t>
  </si>
  <si>
    <t>ITEM/RATE</t>
  </si>
  <si>
    <t>ITEMNAME</t>
  </si>
  <si>
    <t>product_name</t>
  </si>
  <si>
    <t>pradipname</t>
  </si>
  <si>
    <t>DOJ</t>
  </si>
  <si>
    <t>YEAR</t>
  </si>
  <si>
    <t>REMARKS</t>
  </si>
  <si>
    <t>Sunny</t>
  </si>
  <si>
    <t>Rabin</t>
  </si>
  <si>
    <t>wil</t>
  </si>
  <si>
    <t>IF(CONDITION,TRUE,FALSE</t>
  </si>
  <si>
    <t>baishakhi</t>
  </si>
  <si>
    <t>soumya</t>
  </si>
  <si>
    <t>sulekha</t>
  </si>
  <si>
    <t>lisha</t>
  </si>
  <si>
    <t>Baishakhi</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</si>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</sst>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4" x14ac:knownFonts="1">
    <font>
      <sz val="11"/>
      <color theme="1"/>
      <name val="Calibri"/>
      <family val="2"/>
      <scheme val="minor"/>
    </font>
    <font>
      <sz val="11"/>
      <color theme="1"/>
      <name val="Calibri"/>
      <family val="2"/>
      <scheme val="minor"/>
    </font>
    <font>
      <b/>
      <sz val="11"/>
      <color theme="1"/>
      <name val="Calibri"/>
      <family val="2"/>
      <scheme val="minor"/>
    </font>
    <font>
      <b/>
      <sz val="18"/>
      <color rgb="FFFFFF00"/>
      <name val="Calibri"/>
      <family val="2"/>
      <scheme val="minor"/>
    </font>
    <font>
      <b/>
      <sz val="16"/>
      <color rgb="FFFFFF00"/>
      <name val="Calibri"/>
      <family val="2"/>
      <scheme val="minor"/>
    </font>
    <font>
      <b/>
      <sz val="14"/>
      <color rgb="FFFFFF00"/>
      <name val="Calibri"/>
      <family val="2"/>
      <scheme val="minor"/>
    </font>
    <font>
      <b/>
      <sz val="11"/>
      <color rgb="FFFFFF00"/>
      <name val="Calibri"/>
      <family val="2"/>
      <scheme val="minor"/>
    </font>
    <font>
      <sz val="14"/>
      <color theme="1"/>
      <name val="Calibri"/>
      <family val="2"/>
      <scheme val="minor"/>
    </font>
    <font>
      <b/>
      <sz val="14"/>
      <color theme="1"/>
      <name val="Calibri"/>
      <family val="2"/>
      <scheme val="minor"/>
    </font>
    <font>
      <b/>
      <sz val="14"/>
      <color theme="0"/>
      <name val="Calibri"/>
      <family val="2"/>
      <scheme val="minor"/>
    </font>
    <font>
      <b/>
      <sz val="16"/>
      <color theme="0"/>
      <name val="Calibri"/>
      <family val="2"/>
      <scheme val="minor"/>
    </font>
    <font>
      <b/>
      <sz val="16"/>
      <color rgb="FF00B050"/>
      <name val="Calibri"/>
      <family val="2"/>
      <scheme val="minor"/>
    </font>
    <font>
      <b/>
      <sz val="16"/>
      <color rgb="FF7030A0"/>
      <name val="Calibri"/>
      <family val="2"/>
      <scheme val="minor"/>
    </font>
    <font>
      <sz val="18"/>
      <color theme="1"/>
      <name val="Calibri"/>
      <family val="2"/>
      <scheme val="minor"/>
    </font>
    <font>
      <b/>
      <sz val="20"/>
      <color rgb="FFFF0000"/>
      <name val="Calibri"/>
      <family val="2"/>
      <scheme val="minor"/>
    </font>
    <font>
      <b/>
      <sz val="20"/>
      <color theme="1" tint="0.34998626667073579"/>
      <name val="Calibri"/>
      <family val="2"/>
      <scheme val="minor"/>
    </font>
    <font>
      <b/>
      <sz val="48"/>
      <color theme="1" tint="0.34998626667073579"/>
      <name val="Calibri"/>
      <family val="2"/>
      <scheme val="minor"/>
    </font>
    <font>
      <u/>
      <sz val="11"/>
      <color theme="10"/>
      <name val="Calibri"/>
      <family val="2"/>
    </font>
    <font>
      <b/>
      <sz val="11"/>
      <color rgb="FFFF0000"/>
      <name val="Calibri"/>
      <family val="2"/>
      <scheme val="minor"/>
    </font>
    <font>
      <b/>
      <sz val="14"/>
      <color rgb="FFFF0000"/>
      <name val="Calibri"/>
      <family val="2"/>
      <scheme val="minor"/>
    </font>
    <font>
      <b/>
      <sz val="16"/>
      <color theme="1"/>
      <name val="Calibri"/>
      <family val="2"/>
      <scheme val="minor"/>
    </font>
    <font>
      <b/>
      <sz val="18"/>
      <color theme="1"/>
      <name val="Calibri"/>
      <family val="2"/>
      <scheme val="minor"/>
    </font>
    <font>
      <b/>
      <sz val="20"/>
      <color theme="0" tint="-4.9989318521683403E-2"/>
      <name val="Calibri"/>
      <family val="2"/>
      <scheme val="minor"/>
    </font>
    <font>
      <b/>
      <sz val="18"/>
      <color theme="0" tint="-4.9989318521683403E-2"/>
      <name val="Calibri"/>
      <family val="2"/>
      <scheme val="minor"/>
    </font>
    <font>
      <b/>
      <sz val="20"/>
      <color theme="1"/>
      <name val="Calibri"/>
      <family val="2"/>
      <scheme val="minor"/>
    </font>
    <font>
      <b/>
      <sz val="12"/>
      <color theme="0" tint="-4.9989318521683403E-2"/>
      <name val="Calibri"/>
      <family val="2"/>
      <scheme val="minor"/>
    </font>
    <font>
      <b/>
      <sz val="14"/>
      <color rgb="FF7030A0"/>
      <name val="Calibri"/>
      <family val="2"/>
      <scheme val="minor"/>
    </font>
    <font>
      <b/>
      <sz val="16"/>
      <color rgb="FFFF0000"/>
      <name val="Calibri"/>
      <family val="2"/>
      <scheme val="minor"/>
    </font>
    <font>
      <b/>
      <sz val="22"/>
      <color rgb="FFFF0000"/>
      <name val="Calibri"/>
      <family val="2"/>
      <scheme val="minor"/>
    </font>
    <font>
      <b/>
      <sz val="20"/>
      <color rgb="FFFFFF00"/>
      <name val="Calibri"/>
      <family val="2"/>
      <scheme val="minor"/>
    </font>
    <font>
      <b/>
      <sz val="24"/>
      <color theme="0"/>
      <name val="Calibri"/>
      <family val="2"/>
      <scheme val="minor"/>
    </font>
    <font>
      <b/>
      <sz val="20"/>
      <color theme="3" tint="0.39997558519241921"/>
      <name val="Calibri"/>
      <family val="2"/>
      <scheme val="minor"/>
    </font>
    <font>
      <b/>
      <sz val="20"/>
      <color rgb="FF00B050"/>
      <name val="Calibri"/>
      <family val="2"/>
      <scheme val="minor"/>
    </font>
    <font>
      <b/>
      <sz val="11"/>
      <color theme="0" tint="-4.9989318521683403E-2"/>
      <name val="Calibri"/>
      <family val="2"/>
      <scheme val="minor"/>
    </font>
    <font>
      <b/>
      <sz val="14"/>
      <color rgb="FFFF0066"/>
      <name val="Calibri"/>
      <family val="2"/>
      <scheme val="minor"/>
    </font>
    <font>
      <b/>
      <sz val="16"/>
      <color theme="0" tint="-4.9989318521683403E-2"/>
      <name val="Calibri"/>
      <family val="2"/>
      <scheme val="minor"/>
    </font>
    <font>
      <b/>
      <sz val="24"/>
      <color rgb="FFFF0000"/>
      <name val="Calibri"/>
      <family val="2"/>
      <scheme val="minor"/>
    </font>
    <font>
      <b/>
      <sz val="16"/>
      <name val="Calibri"/>
      <family val="2"/>
      <scheme val="minor"/>
    </font>
    <font>
      <b/>
      <sz val="16"/>
      <color rgb="FF00B0F0"/>
      <name val="Calibri"/>
      <family val="2"/>
      <scheme val="minor"/>
    </font>
    <font>
      <b/>
      <sz val="16"/>
      <color theme="3" tint="0.39997558519241921"/>
      <name val="Calibri"/>
      <family val="2"/>
      <scheme val="minor"/>
    </font>
    <font>
      <b/>
      <sz val="18"/>
      <color rgb="FF0070C0"/>
      <name val="Calibri"/>
      <family val="2"/>
      <scheme val="minor"/>
    </font>
    <font>
      <b/>
      <sz val="14"/>
      <color rgb="FF0070C0"/>
      <name val="Calibri"/>
      <family val="2"/>
      <scheme val="minor"/>
    </font>
    <font>
      <sz val="14"/>
      <color rgb="FF0070C0"/>
      <name val="Calibri"/>
      <family val="2"/>
      <scheme val="minor"/>
    </font>
    <font>
      <sz val="16"/>
      <color theme="1"/>
      <name val="Calibri"/>
      <family val="2"/>
      <scheme val="minor"/>
    </font>
    <font>
      <b/>
      <sz val="18"/>
      <color theme="0"/>
      <name val="Calibri"/>
      <family val="2"/>
      <scheme val="minor"/>
    </font>
    <font>
      <b/>
      <sz val="18"/>
      <color rgb="FFFF0066"/>
      <name val="Calibri"/>
      <family val="2"/>
      <scheme val="minor"/>
    </font>
    <font>
      <sz val="20"/>
      <color theme="1"/>
      <name val="Calibri"/>
      <family val="2"/>
      <scheme val="minor"/>
    </font>
    <font>
      <b/>
      <sz val="20"/>
      <name val="Calibri"/>
      <family val="2"/>
      <scheme val="minor"/>
    </font>
    <font>
      <b/>
      <sz val="11"/>
      <color theme="0"/>
      <name val="Calibri"/>
      <family val="2"/>
      <scheme val="minor"/>
    </font>
    <font>
      <sz val="11"/>
      <color theme="0"/>
      <name val="Calibri"/>
      <family val="2"/>
      <scheme val="minor"/>
    </font>
    <font>
      <sz val="24"/>
      <color theme="1"/>
      <name val="Calibri"/>
      <family val="2"/>
      <scheme val="minor"/>
    </font>
    <font>
      <sz val="28"/>
      <color theme="1"/>
      <name val="Calibri"/>
      <family val="2"/>
      <scheme val="minor"/>
    </font>
    <font>
      <sz val="28"/>
      <color rgb="FFFF0000"/>
      <name val="Calibri"/>
      <family val="2"/>
      <scheme val="minor"/>
    </font>
    <font>
      <sz val="24"/>
      <color rgb="FFFF0000"/>
      <name val="Calibri"/>
      <family val="2"/>
      <scheme val="minor"/>
    </font>
  </fonts>
  <fills count="23">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66"/>
        <bgColor indexed="64"/>
      </patternFill>
    </fill>
    <fill>
      <patternFill patternType="solid">
        <fgColor rgb="FF66FF33"/>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7" fillId="0" borderId="0" applyNumberFormat="0" applyFill="0" applyBorder="0" applyAlignment="0" applyProtection="0">
      <alignment vertical="top"/>
      <protection locked="0"/>
    </xf>
  </cellStyleXfs>
  <cellXfs count="178">
    <xf numFmtId="0" fontId="0" fillId="0" borderId="0" xfId="0"/>
    <xf numFmtId="0" fontId="3" fillId="2" borderId="1" xfId="0" applyFont="1" applyFill="1" applyBorder="1" applyAlignment="1">
      <alignment horizontal="right"/>
    </xf>
    <xf numFmtId="0" fontId="2" fillId="0" borderId="1" xfId="0" applyFont="1" applyBorder="1"/>
    <xf numFmtId="164" fontId="2" fillId="0" borderId="1" xfId="0" applyNumberFormat="1" applyFont="1" applyBorder="1"/>
    <xf numFmtId="14" fontId="2" fillId="0" borderId="1" xfId="0" applyNumberFormat="1" applyFont="1" applyBorder="1"/>
    <xf numFmtId="0" fontId="5" fillId="2" borderId="1" xfId="0" applyFont="1" applyFill="1" applyBorder="1" applyAlignment="1">
      <alignment horizontal="right"/>
    </xf>
    <xf numFmtId="0" fontId="2" fillId="0" borderId="0" xfId="0" applyFont="1"/>
    <xf numFmtId="0" fontId="15" fillId="0" borderId="0" xfId="0" applyFont="1"/>
    <xf numFmtId="0" fontId="8" fillId="5" borderId="1" xfId="0" applyFont="1" applyFill="1" applyBorder="1"/>
    <xf numFmtId="0" fontId="8" fillId="5" borderId="9" xfId="0" applyFont="1" applyFill="1" applyBorder="1"/>
    <xf numFmtId="0" fontId="17" fillId="0" borderId="1" xfId="2" applyBorder="1" applyAlignment="1" applyProtection="1"/>
    <xf numFmtId="0" fontId="0" fillId="2" borderId="1" xfId="0" applyFill="1" applyBorder="1"/>
    <xf numFmtId="0" fontId="0" fillId="6" borderId="1" xfId="0" applyFill="1" applyBorder="1"/>
    <xf numFmtId="0" fontId="0" fillId="7" borderId="1" xfId="0" applyFill="1" applyBorder="1"/>
    <xf numFmtId="0" fontId="8" fillId="2" borderId="1" xfId="0" applyFont="1" applyFill="1" applyBorder="1"/>
    <xf numFmtId="0" fontId="8" fillId="6" borderId="1" xfId="0" applyFont="1" applyFill="1" applyBorder="1"/>
    <xf numFmtId="0" fontId="8" fillId="7" borderId="1" xfId="0" applyFont="1" applyFill="1" applyBorder="1"/>
    <xf numFmtId="0" fontId="15" fillId="0" borderId="0" xfId="0" applyFont="1" applyAlignment="1">
      <alignment horizontal="center"/>
    </xf>
    <xf numFmtId="0" fontId="8" fillId="8" borderId="1" xfId="0" applyFont="1" applyFill="1" applyBorder="1"/>
    <xf numFmtId="0" fontId="8" fillId="0" borderId="1" xfId="0" applyFont="1" applyBorder="1"/>
    <xf numFmtId="0" fontId="8" fillId="0" borderId="0" xfId="0" applyFont="1"/>
    <xf numFmtId="0" fontId="9" fillId="5" borderId="10" xfId="0" applyFont="1" applyFill="1" applyBorder="1"/>
    <xf numFmtId="0" fontId="9" fillId="5" borderId="11" xfId="0" applyFont="1" applyFill="1" applyBorder="1"/>
    <xf numFmtId="0" fontId="9" fillId="5" borderId="0" xfId="0" applyFont="1" applyFill="1"/>
    <xf numFmtId="0" fontId="2" fillId="9" borderId="12" xfId="0" applyFont="1" applyFill="1" applyBorder="1"/>
    <xf numFmtId="0" fontId="2" fillId="9" borderId="1" xfId="0" applyFont="1" applyFill="1" applyBorder="1"/>
    <xf numFmtId="0" fontId="2" fillId="9" borderId="13" xfId="0" applyFont="1" applyFill="1" applyBorder="1"/>
    <xf numFmtId="0" fontId="2" fillId="10" borderId="12" xfId="0" applyFont="1" applyFill="1" applyBorder="1"/>
    <xf numFmtId="0" fontId="2" fillId="10" borderId="1" xfId="0" applyFont="1" applyFill="1" applyBorder="1"/>
    <xf numFmtId="0" fontId="2" fillId="10" borderId="13" xfId="0" applyFont="1" applyFill="1" applyBorder="1"/>
    <xf numFmtId="0" fontId="2" fillId="9" borderId="14" xfId="0" applyFont="1" applyFill="1" applyBorder="1"/>
    <xf numFmtId="0" fontId="2" fillId="9" borderId="15" xfId="0" applyFont="1" applyFill="1" applyBorder="1"/>
    <xf numFmtId="0" fontId="2" fillId="9" borderId="16" xfId="0" applyFont="1" applyFill="1" applyBorder="1"/>
    <xf numFmtId="0" fontId="2" fillId="10" borderId="14" xfId="0" applyFont="1" applyFill="1" applyBorder="1"/>
    <xf numFmtId="0" fontId="2" fillId="10" borderId="15" xfId="0" applyFont="1" applyFill="1" applyBorder="1"/>
    <xf numFmtId="0" fontId="2" fillId="10" borderId="16" xfId="0" applyFont="1" applyFill="1" applyBorder="1"/>
    <xf numFmtId="0" fontId="0" fillId="3" borderId="0" xfId="0" applyFill="1"/>
    <xf numFmtId="0" fontId="2" fillId="4" borderId="1" xfId="0" applyFont="1" applyFill="1" applyBorder="1"/>
    <xf numFmtId="0" fontId="2" fillId="3" borderId="1" xfId="0" applyFont="1" applyFill="1" applyBorder="1"/>
    <xf numFmtId="0" fontId="19" fillId="3" borderId="1" xfId="0" applyFont="1" applyFill="1" applyBorder="1"/>
    <xf numFmtId="0" fontId="7" fillId="0" borderId="1" xfId="0" applyFont="1" applyBorder="1"/>
    <xf numFmtId="9" fontId="20" fillId="6" borderId="1" xfId="0" applyNumberFormat="1" applyFont="1" applyFill="1" applyBorder="1"/>
    <xf numFmtId="0" fontId="13" fillId="0" borderId="1" xfId="0" applyFont="1" applyBorder="1"/>
    <xf numFmtId="9" fontId="13" fillId="0" borderId="1" xfId="1" applyFont="1" applyBorder="1"/>
    <xf numFmtId="0" fontId="23" fillId="6" borderId="1" xfId="0" applyFont="1" applyFill="1" applyBorder="1"/>
    <xf numFmtId="0" fontId="2" fillId="0" borderId="1" xfId="0" applyFont="1" applyBorder="1" applyProtection="1">
      <protection locked="0"/>
    </xf>
    <xf numFmtId="0" fontId="20" fillId="0" borderId="1" xfId="0" applyFont="1" applyBorder="1"/>
    <xf numFmtId="0" fontId="24" fillId="0" borderId="1" xfId="0" applyFont="1" applyBorder="1" applyProtection="1">
      <protection locked="0"/>
    </xf>
    <xf numFmtId="0" fontId="2" fillId="4" borderId="0" xfId="0" applyFont="1" applyFill="1"/>
    <xf numFmtId="0" fontId="2" fillId="12" borderId="1" xfId="0" applyFont="1" applyFill="1" applyBorder="1"/>
    <xf numFmtId="0" fontId="21" fillId="12" borderId="1" xfId="0" applyFont="1" applyFill="1" applyBorder="1"/>
    <xf numFmtId="0" fontId="21" fillId="3" borderId="1" xfId="0" applyFont="1" applyFill="1" applyBorder="1"/>
    <xf numFmtId="0" fontId="21" fillId="13" borderId="1" xfId="0" applyFont="1" applyFill="1" applyBorder="1"/>
    <xf numFmtId="0" fontId="25" fillId="11" borderId="1" xfId="0" applyFont="1" applyFill="1" applyBorder="1"/>
    <xf numFmtId="0" fontId="25" fillId="11" borderId="1" xfId="0" applyFont="1" applyFill="1" applyBorder="1" applyAlignment="1">
      <alignment horizontal="center"/>
    </xf>
    <xf numFmtId="0" fontId="12" fillId="0" borderId="1" xfId="0" applyFont="1" applyBorder="1" applyAlignment="1">
      <alignment horizontal="center"/>
    </xf>
    <xf numFmtId="0" fontId="27" fillId="0" borderId="1" xfId="0" applyFont="1" applyBorder="1" applyAlignment="1">
      <alignment horizontal="center"/>
    </xf>
    <xf numFmtId="0" fontId="0" fillId="14" borderId="1" xfId="0" applyFill="1" applyBorder="1"/>
    <xf numFmtId="0" fontId="18" fillId="0" borderId="0" xfId="0" applyFont="1"/>
    <xf numFmtId="0" fontId="2" fillId="11" borderId="1" xfId="0" applyFont="1" applyFill="1" applyBorder="1"/>
    <xf numFmtId="0" fontId="29" fillId="11" borderId="1" xfId="0" applyFont="1" applyFill="1" applyBorder="1"/>
    <xf numFmtId="0" fontId="34" fillId="12" borderId="1" xfId="0" applyFont="1" applyFill="1" applyBorder="1"/>
    <xf numFmtId="0" fontId="2" fillId="14" borderId="1" xfId="0" applyFont="1" applyFill="1" applyBorder="1"/>
    <xf numFmtId="0" fontId="6" fillId="14" borderId="1" xfId="0" applyFont="1" applyFill="1" applyBorder="1"/>
    <xf numFmtId="0" fontId="35" fillId="14" borderId="1" xfId="0" applyFont="1" applyFill="1" applyBorder="1"/>
    <xf numFmtId="0" fontId="6" fillId="11" borderId="1" xfId="0" applyFont="1" applyFill="1" applyBorder="1"/>
    <xf numFmtId="0" fontId="21" fillId="0" borderId="1" xfId="0" applyFont="1" applyBorder="1"/>
    <xf numFmtId="0" fontId="0" fillId="12" borderId="0" xfId="0" applyFill="1"/>
    <xf numFmtId="0" fontId="0" fillId="11" borderId="0" xfId="0" applyFill="1"/>
    <xf numFmtId="0" fontId="43" fillId="0" borderId="1" xfId="0" applyFont="1" applyBorder="1"/>
    <xf numFmtId="0" fontId="43" fillId="11" borderId="1" xfId="0" applyFont="1" applyFill="1" applyBorder="1"/>
    <xf numFmtId="0" fontId="43" fillId="3" borderId="1" xfId="0" applyFont="1" applyFill="1" applyBorder="1"/>
    <xf numFmtId="0" fontId="43" fillId="12" borderId="1" xfId="0" applyFont="1" applyFill="1" applyBorder="1"/>
    <xf numFmtId="0" fontId="43" fillId="0" borderId="1" xfId="0" applyFont="1" applyBorder="1" applyAlignment="1">
      <alignment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44" fillId="11" borderId="1" xfId="0" applyFont="1" applyFill="1" applyBorder="1"/>
    <xf numFmtId="0" fontId="29" fillId="6" borderId="1" xfId="0" applyFont="1" applyFill="1" applyBorder="1"/>
    <xf numFmtId="0" fontId="3" fillId="6" borderId="1" xfId="0" applyFont="1" applyFill="1" applyBorder="1"/>
    <xf numFmtId="0" fontId="45" fillId="12" borderId="0" xfId="0" applyFont="1" applyFill="1"/>
    <xf numFmtId="0" fontId="3" fillId="6" borderId="1" xfId="0" applyFont="1" applyFill="1" applyBorder="1" applyAlignment="1">
      <alignment horizontal="right"/>
    </xf>
    <xf numFmtId="0" fontId="46" fillId="0" borderId="0" xfId="0" applyFont="1"/>
    <xf numFmtId="0" fontId="46" fillId="12" borderId="0" xfId="0" applyFont="1" applyFill="1"/>
    <xf numFmtId="0" fontId="2" fillId="4" borderId="13" xfId="0" applyFont="1" applyFill="1" applyBorder="1"/>
    <xf numFmtId="0" fontId="24" fillId="5" borderId="0" xfId="0" applyFont="1" applyFill="1"/>
    <xf numFmtId="0" fontId="21" fillId="0" borderId="0" xfId="0" applyFont="1"/>
    <xf numFmtId="0" fontId="21" fillId="4" borderId="1" xfId="0" applyFont="1" applyFill="1" applyBorder="1"/>
    <xf numFmtId="0" fontId="21" fillId="5" borderId="1" xfId="0" applyFont="1" applyFill="1" applyBorder="1"/>
    <xf numFmtId="14" fontId="0" fillId="0" borderId="0" xfId="0" applyNumberFormat="1"/>
    <xf numFmtId="0" fontId="21" fillId="12" borderId="1" xfId="0" applyFont="1" applyFill="1" applyBorder="1" applyAlignment="1">
      <alignment horizontal="center"/>
    </xf>
    <xf numFmtId="0" fontId="21" fillId="3" borderId="1" xfId="0" applyFont="1" applyFill="1" applyBorder="1" applyAlignment="1">
      <alignment horizontal="center"/>
    </xf>
    <xf numFmtId="0" fontId="21" fillId="13" borderId="1" xfId="0" applyFont="1" applyFill="1" applyBorder="1" applyAlignment="1">
      <alignment horizontal="center"/>
    </xf>
    <xf numFmtId="0" fontId="20" fillId="0" borderId="0" xfId="0" applyFont="1"/>
    <xf numFmtId="0" fontId="0" fillId="16" borderId="0" xfId="0" applyFill="1"/>
    <xf numFmtId="164" fontId="2" fillId="9" borderId="16" xfId="0" applyNumberFormat="1" applyFont="1" applyFill="1" applyBorder="1"/>
    <xf numFmtId="14" fontId="2" fillId="9" borderId="16" xfId="0" applyNumberFormat="1" applyFont="1" applyFill="1" applyBorder="1"/>
    <xf numFmtId="164" fontId="2" fillId="10" borderId="16" xfId="0" applyNumberFormat="1" applyFont="1" applyFill="1" applyBorder="1"/>
    <xf numFmtId="14" fontId="2" fillId="10" borderId="16" xfId="0" applyNumberFormat="1" applyFont="1" applyFill="1" applyBorder="1"/>
    <xf numFmtId="0" fontId="47" fillId="17" borderId="0" xfId="0" applyFont="1" applyFill="1"/>
    <xf numFmtId="17" fontId="0" fillId="0" borderId="0" xfId="0" applyNumberFormat="1"/>
    <xf numFmtId="14" fontId="0" fillId="0" borderId="1" xfId="0" applyNumberFormat="1" applyBorder="1"/>
    <xf numFmtId="15" fontId="0" fillId="0" borderId="1" xfId="0" applyNumberFormat="1" applyBorder="1"/>
    <xf numFmtId="0" fontId="0" fillId="5" borderId="0" xfId="0" applyFill="1"/>
    <xf numFmtId="0" fontId="49" fillId="18" borderId="0" xfId="0" applyFont="1" applyFill="1"/>
    <xf numFmtId="0" fontId="48" fillId="5" borderId="0" xfId="0" applyFont="1" applyFill="1"/>
    <xf numFmtId="0" fontId="2" fillId="9" borderId="20" xfId="0" applyFont="1" applyFill="1" applyBorder="1"/>
    <xf numFmtId="0" fontId="0" fillId="20" borderId="0" xfId="0" applyFill="1"/>
    <xf numFmtId="0" fontId="5" fillId="0" borderId="0" xfId="0" applyFont="1" applyAlignment="1">
      <alignment horizontal="right"/>
    </xf>
    <xf numFmtId="0" fontId="3" fillId="0" borderId="0" xfId="0" applyFont="1" applyAlignment="1">
      <alignment horizontal="right"/>
    </xf>
    <xf numFmtId="0" fontId="13" fillId="0" borderId="0" xfId="0" applyFont="1"/>
    <xf numFmtId="0" fontId="50" fillId="0" borderId="0" xfId="0" applyFont="1"/>
    <xf numFmtId="0" fontId="9" fillId="5" borderId="16" xfId="0" applyFont="1" applyFill="1" applyBorder="1"/>
    <xf numFmtId="0" fontId="52" fillId="0" borderId="0" xfId="0" applyFont="1"/>
    <xf numFmtId="0" fontId="2" fillId="9" borderId="21" xfId="0" applyFont="1" applyFill="1" applyBorder="1"/>
    <xf numFmtId="0" fontId="2" fillId="10" borderId="21" xfId="0" applyFont="1" applyFill="1" applyBorder="1"/>
    <xf numFmtId="0" fontId="9" fillId="5" borderId="2" xfId="0" applyFont="1" applyFill="1" applyBorder="1"/>
    <xf numFmtId="0" fontId="0" fillId="22" borderId="0" xfId="0" applyFill="1"/>
    <xf numFmtId="0" fontId="46" fillId="22" borderId="0" xfId="0" applyFont="1" applyFill="1"/>
    <xf numFmtId="0" fontId="50" fillId="21" borderId="0" xfId="0" applyFont="1" applyFill="1"/>
    <xf numFmtId="0" fontId="53" fillId="0" borderId="0" xfId="0" applyFont="1"/>
    <xf numFmtId="0" fontId="2" fillId="22" borderId="21" xfId="0" applyFont="1" applyFill="1" applyBorder="1"/>
    <xf numFmtId="0" fontId="2" fillId="22" borderId="7" xfId="0" applyFont="1" applyFill="1" applyBorder="1"/>
    <xf numFmtId="0" fontId="50" fillId="22" borderId="0" xfId="0" quotePrefix="1" applyFont="1" applyFill="1"/>
    <xf numFmtId="0" fontId="50" fillId="19" borderId="0" xfId="0" applyFont="1" applyFill="1"/>
    <xf numFmtId="0" fontId="3" fillId="2" borderId="2" xfId="0" applyFont="1" applyFill="1" applyBorder="1" applyAlignment="1">
      <alignment horizontal="right"/>
    </xf>
    <xf numFmtId="0" fontId="10" fillId="2" borderId="2" xfId="0" quotePrefix="1" applyFont="1" applyFill="1" applyBorder="1" applyAlignment="1">
      <alignment horizontal="center"/>
    </xf>
    <xf numFmtId="0" fontId="10" fillId="2" borderId="0" xfId="0" quotePrefix="1" applyFont="1" applyFill="1" applyAlignment="1">
      <alignment horizontal="center"/>
    </xf>
    <xf numFmtId="0" fontId="14" fillId="3" borderId="0" xfId="0" quotePrefix="1" applyFont="1" applyFill="1" applyAlignment="1">
      <alignment horizontal="center"/>
    </xf>
    <xf numFmtId="0" fontId="15" fillId="4" borderId="3" xfId="0" applyFont="1" applyFill="1" applyBorder="1" applyAlignment="1">
      <alignment horizontal="center"/>
    </xf>
    <xf numFmtId="0" fontId="15" fillId="4" borderId="4" xfId="0" applyFont="1" applyFill="1" applyBorder="1" applyAlignment="1">
      <alignment horizontal="center"/>
    </xf>
    <xf numFmtId="0" fontId="15" fillId="4" borderId="5" xfId="0" applyFont="1" applyFill="1" applyBorder="1" applyAlignment="1">
      <alignment horizontal="center"/>
    </xf>
    <xf numFmtId="0" fontId="15" fillId="4" borderId="6" xfId="0" applyFont="1" applyFill="1" applyBorder="1" applyAlignment="1">
      <alignment horizontal="center"/>
    </xf>
    <xf numFmtId="0" fontId="15" fillId="4" borderId="7" xfId="0" applyFont="1" applyFill="1" applyBorder="1" applyAlignment="1">
      <alignment horizontal="center"/>
    </xf>
    <xf numFmtId="0" fontId="15" fillId="4" borderId="8" xfId="0" applyFont="1" applyFill="1" applyBorder="1" applyAlignment="1">
      <alignment horizontal="center"/>
    </xf>
    <xf numFmtId="0" fontId="16" fillId="0" borderId="0" xfId="0" applyFont="1" applyAlignment="1">
      <alignment horizontal="center"/>
    </xf>
    <xf numFmtId="0" fontId="22" fillId="6" borderId="3" xfId="0" applyFont="1" applyFill="1" applyBorder="1" applyAlignment="1">
      <alignment horizontal="center"/>
    </xf>
    <xf numFmtId="0" fontId="22" fillId="6" borderId="4" xfId="0" applyFont="1" applyFill="1" applyBorder="1" applyAlignment="1">
      <alignment horizontal="center"/>
    </xf>
    <xf numFmtId="0" fontId="22" fillId="6" borderId="5" xfId="0" applyFont="1" applyFill="1" applyBorder="1" applyAlignment="1">
      <alignment horizontal="center"/>
    </xf>
    <xf numFmtId="0" fontId="22" fillId="6" borderId="6" xfId="0" applyFont="1" applyFill="1" applyBorder="1" applyAlignment="1">
      <alignment horizontal="center"/>
    </xf>
    <xf numFmtId="0" fontId="22" fillId="6" borderId="7" xfId="0" applyFont="1" applyFill="1" applyBorder="1" applyAlignment="1">
      <alignment horizontal="center"/>
    </xf>
    <xf numFmtId="0" fontId="22" fillId="6" borderId="8" xfId="0" applyFont="1" applyFill="1" applyBorder="1" applyAlignment="1">
      <alignment horizontal="center"/>
    </xf>
    <xf numFmtId="0" fontId="22" fillId="11" borderId="3" xfId="0" applyFont="1" applyFill="1" applyBorder="1" applyAlignment="1">
      <alignment horizontal="center"/>
    </xf>
    <xf numFmtId="0" fontId="22" fillId="11" borderId="4" xfId="0" applyFont="1" applyFill="1" applyBorder="1" applyAlignment="1">
      <alignment horizontal="center"/>
    </xf>
    <xf numFmtId="0" fontId="22" fillId="11" borderId="5" xfId="0" applyFont="1" applyFill="1" applyBorder="1" applyAlignment="1">
      <alignment horizontal="center"/>
    </xf>
    <xf numFmtId="0" fontId="22" fillId="11" borderId="6" xfId="0" applyFont="1" applyFill="1" applyBorder="1" applyAlignment="1">
      <alignment horizontal="center"/>
    </xf>
    <xf numFmtId="0" fontId="22" fillId="11" borderId="7" xfId="0" applyFont="1" applyFill="1" applyBorder="1" applyAlignment="1">
      <alignment horizontal="center"/>
    </xf>
    <xf numFmtId="0" fontId="22" fillId="11" borderId="8" xfId="0" applyFont="1" applyFill="1" applyBorder="1" applyAlignment="1">
      <alignment horizontal="center"/>
    </xf>
    <xf numFmtId="0" fontId="2" fillId="12" borderId="19" xfId="0" applyFont="1" applyFill="1" applyBorder="1" applyAlignment="1">
      <alignment horizontal="center"/>
    </xf>
    <xf numFmtId="0" fontId="2" fillId="6" borderId="19" xfId="0" applyFont="1" applyFill="1" applyBorder="1" applyAlignment="1">
      <alignment horizontal="center"/>
    </xf>
    <xf numFmtId="0" fontId="2" fillId="11" borderId="19" xfId="0" applyFont="1" applyFill="1" applyBorder="1" applyAlignment="1">
      <alignment horizontal="center"/>
    </xf>
    <xf numFmtId="0" fontId="0" fillId="0" borderId="3" xfId="0" applyBorder="1" applyAlignment="1">
      <alignment horizontal="left" wrapText="1"/>
    </xf>
    <xf numFmtId="0" fontId="0" fillId="0" borderId="4" xfId="0" applyBorder="1" applyAlignment="1">
      <alignment horizontal="left"/>
    </xf>
    <xf numFmtId="0" fontId="0" fillId="0" borderId="5" xfId="0" applyBorder="1" applyAlignment="1">
      <alignment horizontal="left"/>
    </xf>
    <xf numFmtId="0" fontId="0" fillId="0" borderId="17" xfId="0" applyBorder="1" applyAlignment="1">
      <alignment horizontal="left"/>
    </xf>
    <xf numFmtId="0" fontId="0" fillId="0" borderId="0" xfId="0" applyAlignment="1">
      <alignment horizontal="left"/>
    </xf>
    <xf numFmtId="0" fontId="0" fillId="0" borderId="18"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30" fillId="2" borderId="0" xfId="0" applyFont="1" applyFill="1" applyAlignment="1">
      <alignment horizontal="center"/>
    </xf>
    <xf numFmtId="0" fontId="0" fillId="15" borderId="3" xfId="0" applyFill="1" applyBorder="1" applyAlignment="1">
      <alignment horizontal="left" vertical="top" wrapText="1"/>
    </xf>
    <xf numFmtId="0" fontId="0" fillId="15" borderId="4" xfId="0" applyFill="1" applyBorder="1" applyAlignment="1">
      <alignment horizontal="left" vertical="top" wrapText="1"/>
    </xf>
    <xf numFmtId="0" fontId="0" fillId="15" borderId="5" xfId="0" applyFill="1" applyBorder="1" applyAlignment="1">
      <alignment horizontal="left" vertical="top" wrapText="1"/>
    </xf>
    <xf numFmtId="0" fontId="0" fillId="15" borderId="17" xfId="0" applyFill="1" applyBorder="1" applyAlignment="1">
      <alignment horizontal="left" vertical="top" wrapText="1"/>
    </xf>
    <xf numFmtId="0" fontId="0" fillId="15" borderId="0" xfId="0" applyFill="1" applyAlignment="1">
      <alignment horizontal="left" vertical="top" wrapText="1"/>
    </xf>
    <xf numFmtId="0" fontId="0" fillId="15" borderId="18" xfId="0" applyFill="1" applyBorder="1" applyAlignment="1">
      <alignment horizontal="left" vertical="top" wrapText="1"/>
    </xf>
    <xf numFmtId="0" fontId="0" fillId="15" borderId="6" xfId="0" applyFill="1" applyBorder="1" applyAlignment="1">
      <alignment horizontal="left" vertical="top" wrapText="1"/>
    </xf>
    <xf numFmtId="0" fontId="0" fillId="15" borderId="7" xfId="0" applyFill="1" applyBorder="1" applyAlignment="1">
      <alignment horizontal="left" vertical="top" wrapText="1"/>
    </xf>
    <xf numFmtId="0" fontId="0" fillId="15" borderId="8" xfId="0" applyFill="1" applyBorder="1" applyAlignment="1">
      <alignment horizontal="left" vertical="top" wrapText="1"/>
    </xf>
    <xf numFmtId="0" fontId="33" fillId="2" borderId="19" xfId="0" applyFont="1" applyFill="1" applyBorder="1" applyAlignment="1">
      <alignment horizontal="center"/>
    </xf>
    <xf numFmtId="0" fontId="40" fillId="0" borderId="0" xfId="0" applyFont="1" applyAlignment="1">
      <alignment horizontal="center" vertical="top" wrapText="1"/>
    </xf>
    <xf numFmtId="0" fontId="7" fillId="0" borderId="0" xfId="0" applyFont="1" applyAlignment="1">
      <alignment horizontal="left" wrapText="1"/>
    </xf>
    <xf numFmtId="164" fontId="2" fillId="9" borderId="13" xfId="0" applyNumberFormat="1" applyFont="1" applyFill="1" applyBorder="1"/>
    <xf numFmtId="14" fontId="2" fillId="9" borderId="13" xfId="0" applyNumberFormat="1" applyFont="1" applyFill="1" applyBorder="1"/>
    <xf numFmtId="0" fontId="51" fillId="12" borderId="0" xfId="0" applyFont="1" applyFill="1"/>
    <xf numFmtId="0" fontId="2" fillId="9" borderId="22" xfId="0" applyFont="1" applyFill="1" applyBorder="1"/>
    <xf numFmtId="0" fontId="3" fillId="2" borderId="0" xfId="0" applyFont="1" applyFill="1" applyBorder="1" applyAlignment="1">
      <alignment horizontal="right"/>
    </xf>
    <xf numFmtId="0" fontId="17" fillId="0" borderId="0" xfId="2" applyAlignment="1" applyProtection="1"/>
  </cellXfs>
  <cellStyles count="3">
    <cellStyle name="Hyperlink" xfId="2" builtinId="8"/>
    <cellStyle name="Normal" xfId="0" builtinId="0"/>
    <cellStyle name="Percent" xfId="1" builtinId="5"/>
  </cellStyles>
  <dxfs count="27">
    <dxf>
      <font>
        <b/>
        <i val="0"/>
        <strike val="0"/>
        <condense val="0"/>
        <extend val="0"/>
        <outline val="0"/>
        <shadow val="0"/>
        <u val="none"/>
        <vertAlign val="baseline"/>
        <sz val="18"/>
        <color rgb="FFFFFF00"/>
        <name val="Calibri"/>
        <family val="2"/>
        <scheme val="minor"/>
      </font>
      <fill>
        <patternFill patternType="solid">
          <fgColor indexed="64"/>
          <bgColor rgb="FFFF0000"/>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4" formatCode="[$-14009]dd/mm/yyyy;@"/>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4" formatCode="[$-14009]dd/mm/yyyy;@"/>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indexed="64"/>
        </top>
        <bottom style="thin">
          <color indexed="64"/>
        </bottom>
        <vertical/>
        <horizontal/>
      </border>
    </dxf>
    <dxf>
      <border outline="0">
        <left style="thin">
          <color indexed="64"/>
        </left>
        <right style="thin">
          <color indexed="64"/>
        </right>
        <top style="thin">
          <color indexed="64"/>
        </top>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0"/>
        <name val="Calibri"/>
        <family val="2"/>
        <scheme val="minor"/>
      </font>
      <fill>
        <patternFill patternType="solid">
          <fgColor indexed="64"/>
          <bgColor rgb="FFFFC000"/>
        </patternFill>
      </fill>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right style="thin">
          <color indexed="64"/>
        </right>
        <top style="thin">
          <color indexed="64"/>
        </top>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dxf>
    <dxf>
      <font>
        <b/>
        <i val="0"/>
        <strike val="0"/>
        <condense val="0"/>
        <extend val="0"/>
        <outline val="0"/>
        <shadow val="0"/>
        <u val="none"/>
        <vertAlign val="baseline"/>
        <sz val="14"/>
        <color theme="0"/>
        <name val="Calibri"/>
        <scheme val="minor"/>
      </font>
      <fill>
        <patternFill patternType="solid">
          <fgColor indexed="64"/>
          <bgColor rgb="FFFFC000"/>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FFC000"/>
        </patternFill>
      </fill>
    </dxf>
  </dxfs>
  <tableStyles count="0" defaultTableStyle="TableStyleMedium9" defaultPivotStyle="PivotStyleLight16"/>
  <colors>
    <mruColors>
      <color rgb="FF66FF33"/>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i_a/OneDrive/Desktop/Sg.Tpp%202023/Training/advance%20Fun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VAUTO"/>
      <sheetName val="VEP"/>
      <sheetName val="VEDETTAILS"/>
      <sheetName val="VECON"/>
      <sheetName val="VSEARCH"/>
      <sheetName val="VGROUP"/>
      <sheetName val="Dependent list"/>
      <sheetName val="VDATACOR"/>
      <sheetName val="VDATALOC"/>
      <sheetName val="VLOOKUP &amp; MATCH"/>
      <sheetName val="VSALES"/>
      <sheetName val="VGRADE"/>
      <sheetName val="INDEX"/>
      <sheetName val="MATCH"/>
      <sheetName val="INDEX &amp; MATCH"/>
      <sheetName val="INDEX &amp; MATCH  FORMULA"/>
      <sheetName val="print"/>
      <sheetName val="Databasesum"/>
      <sheetName val="MATCH2LIST"/>
      <sheetName val="function"/>
      <sheetName val="Cor"/>
      <sheetName val="Loc"/>
    </sheetNames>
    <sheetDataSet>
      <sheetData sheetId="0" refreshError="1"/>
      <sheetData sheetId="1" refreshError="1"/>
      <sheetData sheetId="2">
        <row r="6">
          <cell r="B6">
            <v>101</v>
          </cell>
        </row>
        <row r="7">
          <cell r="B7">
            <v>102</v>
          </cell>
        </row>
        <row r="8">
          <cell r="B8">
            <v>103</v>
          </cell>
        </row>
        <row r="9">
          <cell r="B9">
            <v>104</v>
          </cell>
        </row>
        <row r="10">
          <cell r="B10">
            <v>105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D84C8C-C420-45F0-A0A1-9279C3406F54}" name="Table3" displayName="Table3" ref="A1:H33" totalsRowShown="0" headerRowDxfId="0" dataDxfId="1" tableBorderDxfId="10">
  <autoFilter ref="A1:H33" xr:uid="{63D84C8C-C420-45F0-A0A1-9279C3406F54}"/>
  <tableColumns count="8">
    <tableColumn id="1" xr3:uid="{677C6337-6F53-43B7-A4CC-0D5E3478B8A9}" name="MIS NO" dataDxfId="9"/>
    <tableColumn id="2" xr3:uid="{13ECD669-7AB3-44C7-9D88-BFE18DE529EC}" name="NAME" dataDxfId="8"/>
    <tableColumn id="3" xr3:uid="{E8281B37-13F8-4C24-A198-27EF9C251450}" name="PLANT" dataDxfId="7"/>
    <tableColumn id="4" xr3:uid="{DF0D6122-3437-4CCD-B325-7B974CD155C2}" name="GENDER" dataDxfId="6"/>
    <tableColumn id="5" xr3:uid="{EE8E6D29-B82A-497A-A2C5-41E980A24672}" name="DOB" dataDxfId="5"/>
    <tableColumn id="6" xr3:uid="{EDEBAE27-C1C9-4343-B1B8-FBB9585F4D0F}" name="DEPT" dataDxfId="4"/>
    <tableColumn id="7" xr3:uid="{2581E292-E649-4FC4-97FA-3F0781C941BA}" name="DESG" dataDxfId="3"/>
    <tableColumn id="8" xr3:uid="{07D1B771-642D-450D-8D9D-7D12929101A8}" name="BASIC"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A54AD5-6C43-4E2A-90F5-EFF765AB3AE7}" name="Table2" displayName="Table2" ref="A5:C28" totalsRowShown="0" headerRowDxfId="26" tableBorderDxfId="25">
  <autoFilter ref="A5:C28" xr:uid="{08A54AD5-6C43-4E2A-90F5-EFF765AB3AE7}"/>
  <tableColumns count="3">
    <tableColumn id="1" xr3:uid="{FC473856-023F-43EA-A930-9DED97EBA933}" name="ID" dataDxfId="24"/>
    <tableColumn id="2" xr3:uid="{BE719EC6-3953-447B-B217-6542DD5EC5C6}" name="NAME" dataDxfId="23"/>
    <tableColumn id="3" xr3:uid="{50661463-868F-445B-9EF7-799A0A98B80E}" name="AGE" dataDxfId="22"/>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4" displayName="Table4" ref="B10:F17" totalsRowShown="0" headerRowDxfId="21" dataDxfId="20" tableBorderDxfId="19">
  <autoFilter ref="B10:F17" xr:uid="{00000000-0009-0000-0100-000001000000}"/>
  <tableColumns count="5">
    <tableColumn id="1" xr3:uid="{00000000-0010-0000-0200-000001000000}" name="ID" dataDxfId="18"/>
    <tableColumn id="2" xr3:uid="{00000000-0010-0000-0200-000002000000}" name="LOCATION" dataDxfId="17"/>
    <tableColumn id="3" xr3:uid="{00000000-0010-0000-0200-000003000000}" name="DEPARTMENT" dataDxfId="16"/>
    <tableColumn id="4" xr3:uid="{00000000-0010-0000-0200-000004000000}" name="DESIGNATION" dataDxfId="15"/>
    <tableColumn id="5" xr3:uid="{00000000-0010-0000-0200-000005000000}" name="SALARY" dataDxfId="1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848A4D-921C-40A6-BA46-262D0B632809}" name="Table6" displayName="Table6" ref="J2:J14" totalsRowShown="0" headerRowDxfId="13" dataDxfId="12">
  <autoFilter ref="J2:J14" xr:uid="{34848A4D-921C-40A6-BA46-262D0B632809}"/>
  <tableColumns count="1">
    <tableColumn id="1" xr3:uid="{96A6911E-B39A-4456-A915-D2DB883D2A71}" name="MIS NO" dataDxfId="1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mailto:a102@wbpdcl.co.in" TargetMode="External"/><Relationship Id="rId2" Type="http://schemas.openxmlformats.org/officeDocument/2006/relationships/hyperlink" Target="mailto:a103@wbpdcl.co.in" TargetMode="External"/><Relationship Id="rId1" Type="http://schemas.openxmlformats.org/officeDocument/2006/relationships/hyperlink" Target="mailto:a101@wbpdcl.co.in" TargetMode="External"/><Relationship Id="rId5" Type="http://schemas.openxmlformats.org/officeDocument/2006/relationships/hyperlink" Target="mailto:a104@wbpdcl.co.in" TargetMode="External"/><Relationship Id="rId4" Type="http://schemas.openxmlformats.org/officeDocument/2006/relationships/hyperlink" Target="mailto:a104@wbpdcl.co.in"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1"/>
  <sheetViews>
    <sheetView zoomScale="87" zoomScaleNormal="87" workbookViewId="0">
      <selection activeCell="K6" sqref="K6"/>
    </sheetView>
  </sheetViews>
  <sheetFormatPr defaultRowHeight="14.4" x14ac:dyDescent="0.3"/>
  <cols>
    <col min="1" max="1" width="14.109375" customWidth="1"/>
    <col min="2" max="3" width="13.6640625" bestFit="1" customWidth="1"/>
    <col min="4" max="4" width="15.109375" customWidth="1"/>
    <col min="5" max="5" width="19.33203125" customWidth="1"/>
    <col min="6" max="6" width="13.109375" customWidth="1"/>
    <col min="7" max="8" width="13.6640625" bestFit="1" customWidth="1"/>
    <col min="10" max="10" width="10.109375" customWidth="1"/>
    <col min="11" max="11" width="30" customWidth="1"/>
    <col min="13" max="13" width="14" customWidth="1"/>
    <col min="14" max="14" width="19.33203125" customWidth="1"/>
  </cols>
  <sheetData>
    <row r="1" spans="1:19" ht="23.4" x14ac:dyDescent="0.45">
      <c r="A1" s="176" t="s">
        <v>0</v>
      </c>
      <c r="B1" s="124" t="s">
        <v>1</v>
      </c>
      <c r="C1" s="124" t="s">
        <v>2</v>
      </c>
      <c r="D1" s="124" t="s">
        <v>3</v>
      </c>
      <c r="E1" s="124" t="s">
        <v>4</v>
      </c>
      <c r="F1" s="124" t="s">
        <v>5</v>
      </c>
      <c r="G1" s="124" t="s">
        <v>6</v>
      </c>
      <c r="H1" s="124" t="s">
        <v>7</v>
      </c>
      <c r="J1" s="125" t="s">
        <v>40</v>
      </c>
      <c r="K1" s="126"/>
      <c r="L1" s="126"/>
      <c r="M1" s="126"/>
      <c r="N1" s="126"/>
      <c r="O1" s="126"/>
      <c r="P1" s="126"/>
      <c r="Q1" s="126"/>
      <c r="R1" s="126"/>
      <c r="S1" s="126"/>
    </row>
    <row r="2" spans="1:19" x14ac:dyDescent="0.3">
      <c r="A2" s="113">
        <v>11</v>
      </c>
      <c r="B2" s="32" t="s">
        <v>8</v>
      </c>
      <c r="C2" s="32" t="s">
        <v>9</v>
      </c>
      <c r="D2" s="32" t="s">
        <v>10</v>
      </c>
      <c r="E2" s="94">
        <v>25911</v>
      </c>
      <c r="F2" s="94" t="s">
        <v>11</v>
      </c>
      <c r="G2" s="95" t="s">
        <v>12</v>
      </c>
      <c r="H2" s="32">
        <v>30</v>
      </c>
    </row>
    <row r="3" spans="1:19" ht="25.8" x14ac:dyDescent="0.5">
      <c r="A3" s="114">
        <v>12</v>
      </c>
      <c r="B3" s="35" t="s">
        <v>13</v>
      </c>
      <c r="C3" s="35" t="s">
        <v>9</v>
      </c>
      <c r="D3" s="35" t="s">
        <v>14</v>
      </c>
      <c r="E3" s="96">
        <v>25912</v>
      </c>
      <c r="F3" s="96" t="s">
        <v>15</v>
      </c>
      <c r="G3" s="97" t="s">
        <v>16</v>
      </c>
      <c r="H3" s="35">
        <v>20</v>
      </c>
      <c r="J3" s="127" t="s">
        <v>41</v>
      </c>
      <c r="K3" s="127"/>
      <c r="L3" s="127"/>
      <c r="M3" s="127"/>
      <c r="N3" s="127"/>
      <c r="O3" s="127"/>
      <c r="P3" s="127"/>
      <c r="Q3" s="127"/>
      <c r="R3" s="127"/>
      <c r="S3" s="127"/>
    </row>
    <row r="4" spans="1:19" x14ac:dyDescent="0.3">
      <c r="A4" s="113">
        <v>13</v>
      </c>
      <c r="B4" s="32" t="s">
        <v>17</v>
      </c>
      <c r="C4" s="32" t="s">
        <v>9</v>
      </c>
      <c r="D4" s="32" t="s">
        <v>10</v>
      </c>
      <c r="E4" s="94">
        <v>25913</v>
      </c>
      <c r="F4" s="94" t="s">
        <v>11</v>
      </c>
      <c r="G4" s="95" t="s">
        <v>18</v>
      </c>
      <c r="H4" s="32">
        <v>25002</v>
      </c>
    </row>
    <row r="5" spans="1:19" ht="23.4" x14ac:dyDescent="0.45">
      <c r="A5" s="114">
        <v>14</v>
      </c>
      <c r="B5" s="35" t="s">
        <v>19</v>
      </c>
      <c r="C5" s="35" t="s">
        <v>20</v>
      </c>
      <c r="D5" s="35" t="s">
        <v>10</v>
      </c>
      <c r="E5" s="96">
        <v>25914</v>
      </c>
      <c r="F5" s="96" t="s">
        <v>11</v>
      </c>
      <c r="G5" s="97" t="s">
        <v>12</v>
      </c>
      <c r="H5" s="35">
        <v>15500</v>
      </c>
      <c r="J5" s="5" t="s">
        <v>0</v>
      </c>
      <c r="K5" s="5" t="s">
        <v>1</v>
      </c>
      <c r="L5" s="5" t="s">
        <v>2</v>
      </c>
      <c r="M5" s="1" t="s">
        <v>3</v>
      </c>
      <c r="N5" s="1" t="s">
        <v>4</v>
      </c>
      <c r="O5" s="1" t="s">
        <v>5</v>
      </c>
    </row>
    <row r="6" spans="1:19" ht="36.6" x14ac:dyDescent="0.7">
      <c r="A6" s="113">
        <v>14</v>
      </c>
      <c r="B6" s="32" t="s">
        <v>21</v>
      </c>
      <c r="C6" s="32" t="s">
        <v>20</v>
      </c>
      <c r="D6" s="32" t="s">
        <v>14</v>
      </c>
      <c r="E6" s="94">
        <v>25915</v>
      </c>
      <c r="F6" s="94" t="s">
        <v>11</v>
      </c>
      <c r="G6" s="95" t="s">
        <v>18</v>
      </c>
      <c r="H6" s="32">
        <v>25500</v>
      </c>
      <c r="J6" s="174">
        <v>48</v>
      </c>
      <c r="K6" s="109" t="str">
        <f>IFERROR(VLOOKUP(J6,Mehphug,2,0),"MIS no.not found")</f>
        <v>MIS no.not found</v>
      </c>
      <c r="L6" t="e">
        <f>VLOOKUP(J6,Mehphug,3,0)</f>
        <v>#N/A</v>
      </c>
      <c r="N6" s="88"/>
    </row>
    <row r="7" spans="1:19" x14ac:dyDescent="0.3">
      <c r="A7" s="114">
        <v>16</v>
      </c>
      <c r="B7" s="35" t="s">
        <v>22</v>
      </c>
      <c r="C7" s="35" t="s">
        <v>20</v>
      </c>
      <c r="D7" s="35" t="s">
        <v>14</v>
      </c>
      <c r="E7" s="96">
        <v>29587</v>
      </c>
      <c r="F7" s="96" t="s">
        <v>11</v>
      </c>
      <c r="G7" s="97" t="s">
        <v>12</v>
      </c>
      <c r="H7" s="35">
        <v>60</v>
      </c>
    </row>
    <row r="8" spans="1:19" x14ac:dyDescent="0.3">
      <c r="A8" s="113">
        <v>17</v>
      </c>
      <c r="B8" s="32" t="s">
        <v>23</v>
      </c>
      <c r="C8" s="32" t="s">
        <v>20</v>
      </c>
      <c r="D8" s="32" t="s">
        <v>14</v>
      </c>
      <c r="E8" s="94">
        <v>29589</v>
      </c>
      <c r="F8" s="94" t="s">
        <v>11</v>
      </c>
      <c r="G8" s="95" t="s">
        <v>12</v>
      </c>
      <c r="H8" s="32">
        <v>60</v>
      </c>
    </row>
    <row r="9" spans="1:19" x14ac:dyDescent="0.3">
      <c r="A9" s="114">
        <v>18</v>
      </c>
      <c r="B9" s="35" t="s">
        <v>24</v>
      </c>
      <c r="C9" s="35" t="s">
        <v>9</v>
      </c>
      <c r="D9" s="35" t="s">
        <v>14</v>
      </c>
      <c r="E9" s="96">
        <v>29680</v>
      </c>
      <c r="F9" s="96" t="s">
        <v>11</v>
      </c>
      <c r="G9" s="97" t="s">
        <v>18</v>
      </c>
      <c r="H9" s="35">
        <v>25000</v>
      </c>
    </row>
    <row r="10" spans="1:19" ht="23.4" x14ac:dyDescent="0.45">
      <c r="A10" s="113">
        <v>19</v>
      </c>
      <c r="B10" s="32" t="s">
        <v>25</v>
      </c>
      <c r="C10" s="32" t="s">
        <v>9</v>
      </c>
      <c r="D10" s="32" t="s">
        <v>14</v>
      </c>
      <c r="E10" s="94">
        <v>36621</v>
      </c>
      <c r="F10" s="94" t="s">
        <v>11</v>
      </c>
      <c r="G10" s="95" t="s">
        <v>26</v>
      </c>
      <c r="H10" s="32">
        <v>25001</v>
      </c>
      <c r="J10" s="107"/>
      <c r="K10" s="107"/>
      <c r="L10" s="107"/>
      <c r="M10" s="108"/>
      <c r="N10" s="108"/>
      <c r="O10" s="108"/>
    </row>
    <row r="11" spans="1:19" x14ac:dyDescent="0.3">
      <c r="A11" s="114">
        <v>20</v>
      </c>
      <c r="B11" s="35" t="s">
        <v>27</v>
      </c>
      <c r="C11" s="35" t="s">
        <v>28</v>
      </c>
      <c r="D11" s="35" t="s">
        <v>14</v>
      </c>
      <c r="E11" s="96">
        <v>36591</v>
      </c>
      <c r="F11" s="96" t="s">
        <v>15</v>
      </c>
      <c r="G11" s="97" t="s">
        <v>26</v>
      </c>
      <c r="H11" s="35">
        <v>40</v>
      </c>
      <c r="N11" s="88"/>
    </row>
    <row r="12" spans="1:19" x14ac:dyDescent="0.3">
      <c r="A12" s="113">
        <v>21</v>
      </c>
      <c r="B12" s="32" t="s">
        <v>29</v>
      </c>
      <c r="C12" s="32" t="s">
        <v>30</v>
      </c>
      <c r="D12" s="32" t="s">
        <v>10</v>
      </c>
      <c r="E12" s="94">
        <v>29588</v>
      </c>
      <c r="F12" s="94" t="s">
        <v>15</v>
      </c>
      <c r="G12" s="95" t="s">
        <v>26</v>
      </c>
      <c r="H12" s="32">
        <v>30</v>
      </c>
    </row>
    <row r="13" spans="1:19" x14ac:dyDescent="0.3">
      <c r="A13" s="114">
        <v>22</v>
      </c>
      <c r="B13" s="35" t="s">
        <v>31</v>
      </c>
      <c r="C13" s="35" t="s">
        <v>9</v>
      </c>
      <c r="D13" s="35" t="s">
        <v>14</v>
      </c>
      <c r="E13" s="96">
        <v>29680</v>
      </c>
      <c r="F13" s="96" t="s">
        <v>11</v>
      </c>
      <c r="G13" s="97" t="s">
        <v>18</v>
      </c>
      <c r="H13" s="35">
        <v>25000</v>
      </c>
    </row>
    <row r="14" spans="1:19" ht="23.4" x14ac:dyDescent="0.45">
      <c r="A14" s="113">
        <v>23</v>
      </c>
      <c r="B14" s="32" t="s">
        <v>32</v>
      </c>
      <c r="C14" s="32" t="s">
        <v>28</v>
      </c>
      <c r="D14" s="32" t="s">
        <v>10</v>
      </c>
      <c r="E14" s="94">
        <v>29681</v>
      </c>
      <c r="F14" s="94" t="s">
        <v>15</v>
      </c>
      <c r="G14" s="95" t="s">
        <v>12</v>
      </c>
      <c r="H14" s="32">
        <v>50</v>
      </c>
      <c r="J14" s="107"/>
      <c r="K14" s="107"/>
      <c r="L14" s="107"/>
      <c r="M14" s="108"/>
      <c r="N14" s="108"/>
      <c r="O14" s="108"/>
    </row>
    <row r="15" spans="1:19" x14ac:dyDescent="0.3">
      <c r="A15" s="114">
        <v>24</v>
      </c>
      <c r="B15" s="35" t="s">
        <v>33</v>
      </c>
      <c r="C15" s="35" t="s">
        <v>28</v>
      </c>
      <c r="D15" s="35" t="s">
        <v>10</v>
      </c>
      <c r="E15" s="96">
        <v>29681</v>
      </c>
      <c r="F15" s="96" t="s">
        <v>15</v>
      </c>
      <c r="G15" s="97" t="s">
        <v>12</v>
      </c>
      <c r="H15" s="35">
        <v>50</v>
      </c>
    </row>
    <row r="16" spans="1:19" x14ac:dyDescent="0.3">
      <c r="A16" s="113">
        <v>25</v>
      </c>
      <c r="B16" s="32" t="s">
        <v>34</v>
      </c>
      <c r="C16" s="32" t="s">
        <v>30</v>
      </c>
      <c r="D16" s="32" t="s">
        <v>10</v>
      </c>
      <c r="E16" s="94">
        <v>29588</v>
      </c>
      <c r="F16" s="94" t="s">
        <v>15</v>
      </c>
      <c r="G16" s="95" t="s">
        <v>26</v>
      </c>
      <c r="H16" s="32">
        <v>30</v>
      </c>
    </row>
    <row r="17" spans="1:8" x14ac:dyDescent="0.3">
      <c r="A17" s="114">
        <v>26</v>
      </c>
      <c r="B17" s="35" t="s">
        <v>35</v>
      </c>
      <c r="C17" s="35" t="s">
        <v>9</v>
      </c>
      <c r="D17" s="35" t="s">
        <v>10</v>
      </c>
      <c r="E17" s="96">
        <v>36558</v>
      </c>
      <c r="F17" s="96" t="s">
        <v>36</v>
      </c>
      <c r="G17" s="97" t="s">
        <v>18</v>
      </c>
      <c r="H17" s="35">
        <v>10</v>
      </c>
    </row>
    <row r="18" spans="1:8" x14ac:dyDescent="0.3">
      <c r="A18" s="113">
        <v>27</v>
      </c>
      <c r="B18" s="32" t="s">
        <v>37</v>
      </c>
      <c r="C18" s="32" t="s">
        <v>38</v>
      </c>
      <c r="D18" s="32" t="s">
        <v>14</v>
      </c>
      <c r="E18" s="94">
        <v>36559</v>
      </c>
      <c r="F18" s="94" t="s">
        <v>36</v>
      </c>
      <c r="G18" s="95" t="s">
        <v>12</v>
      </c>
      <c r="H18" s="32">
        <v>23000</v>
      </c>
    </row>
    <row r="19" spans="1:8" x14ac:dyDescent="0.3">
      <c r="A19" s="114">
        <v>28</v>
      </c>
      <c r="B19" s="35" t="s">
        <v>39</v>
      </c>
      <c r="C19" s="35" t="s">
        <v>38</v>
      </c>
      <c r="D19" s="35" t="s">
        <v>14</v>
      </c>
      <c r="E19" s="96">
        <v>36560</v>
      </c>
      <c r="F19" s="96" t="s">
        <v>11</v>
      </c>
      <c r="G19" s="97" t="s">
        <v>12</v>
      </c>
      <c r="H19" s="35">
        <v>28000</v>
      </c>
    </row>
    <row r="20" spans="1:8" x14ac:dyDescent="0.3">
      <c r="A20" s="113">
        <v>29</v>
      </c>
      <c r="B20" s="32" t="s">
        <v>34</v>
      </c>
      <c r="C20" s="32" t="s">
        <v>30</v>
      </c>
      <c r="D20" s="32" t="s">
        <v>10</v>
      </c>
      <c r="E20" s="94">
        <v>29588</v>
      </c>
      <c r="F20" s="94" t="s">
        <v>15</v>
      </c>
      <c r="G20" s="95" t="s">
        <v>26</v>
      </c>
      <c r="H20" s="32">
        <v>39485</v>
      </c>
    </row>
    <row r="21" spans="1:8" x14ac:dyDescent="0.3">
      <c r="A21" s="114">
        <v>30</v>
      </c>
      <c r="B21" s="35" t="s">
        <v>35</v>
      </c>
      <c r="C21" s="35" t="s">
        <v>9</v>
      </c>
      <c r="D21" s="35" t="s">
        <v>10</v>
      </c>
      <c r="E21" s="96">
        <v>36558</v>
      </c>
      <c r="F21" s="96" t="s">
        <v>36</v>
      </c>
      <c r="G21" s="97" t="s">
        <v>18</v>
      </c>
      <c r="H21" s="35">
        <v>50175</v>
      </c>
    </row>
    <row r="22" spans="1:8" x14ac:dyDescent="0.3">
      <c r="A22" s="113">
        <v>31</v>
      </c>
      <c r="B22" s="32" t="s">
        <v>37</v>
      </c>
      <c r="C22" s="32" t="s">
        <v>38</v>
      </c>
      <c r="D22" s="32" t="s">
        <v>14</v>
      </c>
      <c r="E22" s="94">
        <v>36559</v>
      </c>
      <c r="F22" s="94" t="s">
        <v>36</v>
      </c>
      <c r="G22" s="95" t="s">
        <v>12</v>
      </c>
      <c r="H22" s="32">
        <v>60865</v>
      </c>
    </row>
    <row r="23" spans="1:8" x14ac:dyDescent="0.3">
      <c r="A23" s="113">
        <v>45</v>
      </c>
      <c r="B23" s="32" t="s">
        <v>192</v>
      </c>
      <c r="C23" s="32"/>
      <c r="D23" s="32"/>
      <c r="E23" s="94"/>
      <c r="F23" s="94"/>
      <c r="G23" s="95"/>
      <c r="H23" s="32"/>
    </row>
    <row r="24" spans="1:8" x14ac:dyDescent="0.3">
      <c r="A24" s="175">
        <v>46</v>
      </c>
      <c r="B24" s="26" t="s">
        <v>191</v>
      </c>
      <c r="C24" s="26"/>
      <c r="D24" s="26"/>
      <c r="E24" s="172"/>
      <c r="F24" s="172"/>
      <c r="G24" s="173"/>
      <c r="H24" s="26"/>
    </row>
    <row r="25" spans="1:8" x14ac:dyDescent="0.3">
      <c r="A25" s="113">
        <v>47</v>
      </c>
      <c r="B25" s="32" t="s">
        <v>192</v>
      </c>
      <c r="C25" s="32"/>
      <c r="D25" s="32"/>
      <c r="E25" s="94"/>
      <c r="F25" s="94"/>
      <c r="G25" s="95"/>
      <c r="H25" s="32"/>
    </row>
    <row r="26" spans="1:8" x14ac:dyDescent="0.3">
      <c r="A26" s="175">
        <v>48</v>
      </c>
      <c r="B26" s="26" t="s">
        <v>191</v>
      </c>
      <c r="C26" s="26"/>
      <c r="D26" s="26"/>
      <c r="E26" s="172"/>
      <c r="F26" s="172"/>
      <c r="G26" s="173"/>
      <c r="H26" s="26"/>
    </row>
    <row r="27" spans="1:8" x14ac:dyDescent="0.3">
      <c r="A27" s="113">
        <v>49</v>
      </c>
      <c r="B27" s="32" t="s">
        <v>192</v>
      </c>
      <c r="C27" s="32"/>
      <c r="D27" s="32"/>
      <c r="E27" s="94"/>
      <c r="F27" s="94"/>
      <c r="G27" s="95"/>
      <c r="H27" s="32"/>
    </row>
    <row r="28" spans="1:8" x14ac:dyDescent="0.3">
      <c r="A28" s="175">
        <v>50</v>
      </c>
      <c r="B28" s="26" t="s">
        <v>191</v>
      </c>
      <c r="C28" s="26"/>
      <c r="D28" s="26"/>
      <c r="E28" s="172"/>
      <c r="F28" s="172"/>
      <c r="G28" s="173"/>
      <c r="H28" s="26"/>
    </row>
    <row r="29" spans="1:8" x14ac:dyDescent="0.3">
      <c r="A29" s="113">
        <v>51</v>
      </c>
      <c r="B29" s="32" t="s">
        <v>192</v>
      </c>
      <c r="C29" s="32"/>
      <c r="D29" s="32"/>
      <c r="E29" s="94"/>
      <c r="F29" s="94"/>
      <c r="G29" s="95"/>
      <c r="H29" s="32"/>
    </row>
    <row r="30" spans="1:8" x14ac:dyDescent="0.3">
      <c r="A30" s="175">
        <v>52</v>
      </c>
      <c r="B30" s="26" t="s">
        <v>191</v>
      </c>
      <c r="C30" s="26"/>
      <c r="D30" s="26"/>
      <c r="E30" s="172"/>
      <c r="F30" s="172"/>
      <c r="G30" s="173"/>
      <c r="H30" s="26"/>
    </row>
    <row r="31" spans="1:8" x14ac:dyDescent="0.3">
      <c r="A31" s="113">
        <v>53</v>
      </c>
      <c r="B31" s="32" t="s">
        <v>192</v>
      </c>
      <c r="C31" s="32"/>
      <c r="D31" s="32"/>
      <c r="E31" s="94"/>
      <c r="F31" s="94"/>
      <c r="G31" s="95"/>
      <c r="H31" s="32"/>
    </row>
    <row r="32" spans="1:8" x14ac:dyDescent="0.3">
      <c r="A32" s="175">
        <v>54</v>
      </c>
      <c r="B32" s="26" t="s">
        <v>191</v>
      </c>
      <c r="C32" s="26"/>
      <c r="D32" s="26"/>
      <c r="E32" s="172"/>
      <c r="F32" s="172"/>
      <c r="G32" s="173"/>
      <c r="H32" s="26"/>
    </row>
    <row r="33" spans="1:8" x14ac:dyDescent="0.3">
      <c r="A33" s="113">
        <v>55</v>
      </c>
      <c r="B33" s="32" t="s">
        <v>192</v>
      </c>
      <c r="C33" s="32"/>
      <c r="D33" s="32"/>
      <c r="E33" s="94"/>
      <c r="F33" s="94"/>
      <c r="G33" s="95"/>
      <c r="H33" s="32"/>
    </row>
    <row r="40" spans="1:8" x14ac:dyDescent="0.3">
      <c r="A40">
        <f>SUM(Mehphug_BASIC)</f>
        <v>342908</v>
      </c>
    </row>
    <row r="41" spans="1:8" x14ac:dyDescent="0.3">
      <c r="A41">
        <f>MAX(Mehphug_BASIC)</f>
        <v>60865</v>
      </c>
    </row>
  </sheetData>
  <mergeCells count="2">
    <mergeCell ref="J1:S1"/>
    <mergeCell ref="J3:S3"/>
  </mergeCells>
  <dataValidations count="1">
    <dataValidation type="list" allowBlank="1" showInputMessage="1" showErrorMessage="1" sqref="J6" xr:uid="{274C5D8F-74A7-46B3-822A-CED7A5EDF6C3}">
      <formula1>$A$2:$A$33</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
  <sheetViews>
    <sheetView workbookViewId="0">
      <selection activeCell="C11" sqref="A6:C28"/>
    </sheetView>
  </sheetViews>
  <sheetFormatPr defaultRowHeight="14.4" x14ac:dyDescent="0.3"/>
  <cols>
    <col min="2" max="2" width="10.44140625" customWidth="1"/>
    <col min="3" max="3" width="20.109375" customWidth="1"/>
    <col min="4" max="4" width="15" customWidth="1"/>
    <col min="12" max="12" width="21.109375" customWidth="1"/>
  </cols>
  <sheetData>
    <row r="1" spans="1:12" ht="18.600000000000001" thickBot="1" x14ac:dyDescent="0.4">
      <c r="L1" s="111" t="s">
        <v>44</v>
      </c>
    </row>
    <row r="2" spans="1:12" ht="15" customHeight="1" x14ac:dyDescent="0.5">
      <c r="B2" s="128" t="s">
        <v>42</v>
      </c>
      <c r="C2" s="129"/>
      <c r="D2" s="130"/>
      <c r="E2" s="7"/>
      <c r="F2" s="7"/>
      <c r="L2" s="106">
        <v>109</v>
      </c>
    </row>
    <row r="3" spans="1:12" ht="15.75" customHeight="1" thickBot="1" x14ac:dyDescent="0.55000000000000004">
      <c r="B3" s="131"/>
      <c r="C3" s="132"/>
      <c r="D3" s="133"/>
      <c r="E3" s="7"/>
      <c r="F3" s="134" t="s">
        <v>43</v>
      </c>
      <c r="G3" s="134"/>
      <c r="H3" s="134"/>
    </row>
    <row r="4" spans="1:12" x14ac:dyDescent="0.3">
      <c r="F4" s="134"/>
      <c r="G4" s="134"/>
      <c r="H4" s="134"/>
    </row>
    <row r="5" spans="1:12" ht="18" x14ac:dyDescent="0.35">
      <c r="A5" s="23" t="s">
        <v>44</v>
      </c>
      <c r="B5" s="115" t="s">
        <v>1</v>
      </c>
      <c r="C5" s="115" t="s">
        <v>45</v>
      </c>
      <c r="F5" s="134"/>
      <c r="G5" s="134"/>
      <c r="H5" s="134"/>
    </row>
    <row r="6" spans="1:12" x14ac:dyDescent="0.3">
      <c r="A6" s="113">
        <v>101</v>
      </c>
      <c r="B6" s="32" t="s">
        <v>46</v>
      </c>
      <c r="C6" s="32">
        <v>50</v>
      </c>
      <c r="J6">
        <f>MIN(Mehphug_BASIC)</f>
        <v>10</v>
      </c>
    </row>
    <row r="7" spans="1:12" x14ac:dyDescent="0.3">
      <c r="A7" s="114">
        <v>102</v>
      </c>
      <c r="B7" s="35" t="s">
        <v>47</v>
      </c>
      <c r="C7" s="35">
        <v>40</v>
      </c>
    </row>
    <row r="8" spans="1:12" x14ac:dyDescent="0.3">
      <c r="A8" s="114">
        <v>103</v>
      </c>
      <c r="B8" s="35" t="s">
        <v>184</v>
      </c>
      <c r="C8" s="35">
        <v>24</v>
      </c>
    </row>
    <row r="9" spans="1:12" x14ac:dyDescent="0.3">
      <c r="A9" s="114">
        <v>104</v>
      </c>
      <c r="B9" s="35" t="s">
        <v>185</v>
      </c>
      <c r="C9" s="35">
        <v>45</v>
      </c>
    </row>
    <row r="10" spans="1:12" x14ac:dyDescent="0.3">
      <c r="A10" s="113">
        <v>105</v>
      </c>
      <c r="B10" s="32" t="s">
        <v>49</v>
      </c>
      <c r="C10" s="32">
        <v>42</v>
      </c>
    </row>
    <row r="11" spans="1:12" x14ac:dyDescent="0.3">
      <c r="A11" s="114">
        <v>106</v>
      </c>
      <c r="B11" s="35" t="s">
        <v>48</v>
      </c>
      <c r="C11" s="35">
        <v>59</v>
      </c>
    </row>
    <row r="12" spans="1:12" x14ac:dyDescent="0.3">
      <c r="A12" s="113">
        <v>107</v>
      </c>
      <c r="B12" s="32" t="s">
        <v>49</v>
      </c>
      <c r="C12" s="32">
        <v>76</v>
      </c>
    </row>
    <row r="13" spans="1:12" x14ac:dyDescent="0.3">
      <c r="A13" s="114">
        <v>108</v>
      </c>
      <c r="B13" s="35" t="s">
        <v>48</v>
      </c>
      <c r="C13" s="35">
        <v>93</v>
      </c>
    </row>
    <row r="14" spans="1:12" x14ac:dyDescent="0.3">
      <c r="A14" s="113">
        <v>109</v>
      </c>
      <c r="B14" s="32" t="s">
        <v>49</v>
      </c>
      <c r="C14" s="32">
        <v>110</v>
      </c>
    </row>
    <row r="15" spans="1:12" x14ac:dyDescent="0.3">
      <c r="A15" s="114">
        <v>110</v>
      </c>
      <c r="B15" s="35" t="s">
        <v>48</v>
      </c>
      <c r="C15" s="35">
        <v>127</v>
      </c>
    </row>
    <row r="16" spans="1:12" x14ac:dyDescent="0.3">
      <c r="A16" s="113">
        <v>111</v>
      </c>
      <c r="B16" s="32" t="s">
        <v>49</v>
      </c>
      <c r="C16" s="32">
        <v>144</v>
      </c>
    </row>
    <row r="17" spans="1:3" x14ac:dyDescent="0.3">
      <c r="A17" s="114">
        <v>112</v>
      </c>
      <c r="B17" s="35" t="s">
        <v>48</v>
      </c>
      <c r="C17" s="35">
        <v>161</v>
      </c>
    </row>
    <row r="18" spans="1:3" x14ac:dyDescent="0.3">
      <c r="A18" s="113">
        <v>113</v>
      </c>
      <c r="B18" s="32" t="s">
        <v>49</v>
      </c>
      <c r="C18" s="32">
        <v>178</v>
      </c>
    </row>
    <row r="19" spans="1:3" x14ac:dyDescent="0.3">
      <c r="A19" s="114">
        <v>114</v>
      </c>
      <c r="B19" s="35" t="s">
        <v>48</v>
      </c>
      <c r="C19" s="35">
        <v>195</v>
      </c>
    </row>
    <row r="20" spans="1:3" x14ac:dyDescent="0.3">
      <c r="A20" s="113">
        <v>115</v>
      </c>
      <c r="B20" s="32" t="s">
        <v>49</v>
      </c>
      <c r="C20" s="32">
        <v>212</v>
      </c>
    </row>
    <row r="21" spans="1:3" x14ac:dyDescent="0.3">
      <c r="A21" s="114">
        <v>116</v>
      </c>
      <c r="B21" s="35" t="s">
        <v>48</v>
      </c>
      <c r="C21" s="35">
        <v>229</v>
      </c>
    </row>
    <row r="22" spans="1:3" x14ac:dyDescent="0.3">
      <c r="A22" s="114">
        <v>301</v>
      </c>
      <c r="B22" s="35"/>
      <c r="C22" s="35"/>
    </row>
    <row r="23" spans="1:3" x14ac:dyDescent="0.3">
      <c r="A23" s="114">
        <v>302</v>
      </c>
      <c r="B23" s="35"/>
      <c r="C23" s="35"/>
    </row>
    <row r="24" spans="1:3" x14ac:dyDescent="0.3">
      <c r="A24" s="114">
        <v>303</v>
      </c>
      <c r="B24" s="35"/>
      <c r="C24" s="35"/>
    </row>
    <row r="25" spans="1:3" x14ac:dyDescent="0.3">
      <c r="A25" s="114">
        <v>401</v>
      </c>
      <c r="B25" s="35" t="s">
        <v>188</v>
      </c>
      <c r="C25" s="35">
        <v>25</v>
      </c>
    </row>
    <row r="26" spans="1:3" x14ac:dyDescent="0.3">
      <c r="A26" s="114">
        <v>402</v>
      </c>
      <c r="B26" s="35" t="s">
        <v>189</v>
      </c>
      <c r="C26" s="35">
        <v>20</v>
      </c>
    </row>
    <row r="27" spans="1:3" x14ac:dyDescent="0.3">
      <c r="A27" s="114">
        <v>403</v>
      </c>
      <c r="B27" s="35" t="s">
        <v>190</v>
      </c>
      <c r="C27" s="35">
        <v>25</v>
      </c>
    </row>
    <row r="28" spans="1:3" x14ac:dyDescent="0.3">
      <c r="A28" s="114">
        <v>404</v>
      </c>
      <c r="B28" s="35" t="s">
        <v>191</v>
      </c>
      <c r="C28" s="35">
        <v>22</v>
      </c>
    </row>
  </sheetData>
  <mergeCells count="2">
    <mergeCell ref="B2:D3"/>
    <mergeCell ref="F3:H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0"/>
  <sheetViews>
    <sheetView workbookViewId="0">
      <selection activeCell="B5" sqref="B5:F10"/>
    </sheetView>
  </sheetViews>
  <sheetFormatPr defaultRowHeight="14.4" x14ac:dyDescent="0.3"/>
  <cols>
    <col min="3" max="3" width="20.109375" customWidth="1"/>
    <col min="4" max="5" width="17.5546875" bestFit="1" customWidth="1"/>
    <col min="6" max="6" width="10.109375" bestFit="1" customWidth="1"/>
  </cols>
  <sheetData>
    <row r="1" spans="2:10" ht="15" thickBot="1" x14ac:dyDescent="0.35"/>
    <row r="2" spans="2:10" ht="15" customHeight="1" x14ac:dyDescent="0.3">
      <c r="B2" s="128" t="s">
        <v>50</v>
      </c>
      <c r="C2" s="129"/>
      <c r="D2" s="129"/>
      <c r="E2" s="129"/>
      <c r="F2" s="130"/>
    </row>
    <row r="3" spans="2:10" ht="15.75" customHeight="1" thickBot="1" x14ac:dyDescent="0.35">
      <c r="B3" s="131"/>
      <c r="C3" s="132"/>
      <c r="D3" s="132"/>
      <c r="E3" s="132"/>
      <c r="F3" s="133"/>
      <c r="H3" s="134" t="s">
        <v>51</v>
      </c>
      <c r="I3" s="134"/>
      <c r="J3" s="134"/>
    </row>
    <row r="4" spans="2:10" x14ac:dyDescent="0.3">
      <c r="H4" s="134"/>
      <c r="I4" s="134"/>
      <c r="J4" s="134"/>
    </row>
    <row r="5" spans="2:10" ht="18" x14ac:dyDescent="0.35">
      <c r="B5" s="8" t="s">
        <v>44</v>
      </c>
      <c r="C5" s="8" t="s">
        <v>52</v>
      </c>
      <c r="D5" s="8" t="s">
        <v>53</v>
      </c>
      <c r="E5" s="8" t="s">
        <v>54</v>
      </c>
      <c r="F5" s="9" t="s">
        <v>55</v>
      </c>
      <c r="H5" s="134"/>
      <c r="I5" s="134"/>
      <c r="J5" s="134"/>
    </row>
    <row r="6" spans="2:10" x14ac:dyDescent="0.3">
      <c r="B6" s="2">
        <v>101</v>
      </c>
      <c r="C6" s="2" t="s">
        <v>38</v>
      </c>
      <c r="D6" s="2" t="s">
        <v>15</v>
      </c>
      <c r="E6" s="2" t="s">
        <v>56</v>
      </c>
      <c r="F6" s="2">
        <v>32000</v>
      </c>
    </row>
    <row r="7" spans="2:10" x14ac:dyDescent="0.3">
      <c r="B7" s="2">
        <v>102</v>
      </c>
      <c r="C7" s="2" t="s">
        <v>9</v>
      </c>
      <c r="D7" s="2" t="s">
        <v>11</v>
      </c>
      <c r="E7" s="2" t="s">
        <v>18</v>
      </c>
      <c r="F7" s="2">
        <v>75000</v>
      </c>
    </row>
    <row r="8" spans="2:10" x14ac:dyDescent="0.3">
      <c r="B8" s="2">
        <v>103</v>
      </c>
      <c r="C8" s="2" t="s">
        <v>57</v>
      </c>
      <c r="D8" s="2" t="s">
        <v>36</v>
      </c>
      <c r="E8" s="2" t="s">
        <v>56</v>
      </c>
      <c r="F8" s="2">
        <v>40000</v>
      </c>
    </row>
    <row r="9" spans="2:10" x14ac:dyDescent="0.3">
      <c r="B9" s="2">
        <v>104</v>
      </c>
      <c r="C9" s="2" t="s">
        <v>38</v>
      </c>
      <c r="D9" s="2" t="s">
        <v>36</v>
      </c>
      <c r="E9" s="2" t="s">
        <v>18</v>
      </c>
      <c r="F9" s="2">
        <v>80000</v>
      </c>
    </row>
    <row r="10" spans="2:10" x14ac:dyDescent="0.3">
      <c r="B10" s="2">
        <v>105</v>
      </c>
      <c r="C10" s="2" t="s">
        <v>57</v>
      </c>
      <c r="D10" s="2" t="s">
        <v>11</v>
      </c>
      <c r="E10" s="2" t="s">
        <v>58</v>
      </c>
      <c r="F10" s="2">
        <v>110000</v>
      </c>
    </row>
  </sheetData>
  <mergeCells count="2">
    <mergeCell ref="B2:F3"/>
    <mergeCell ref="H3:J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1"/>
  <sheetViews>
    <sheetView topLeftCell="B1" zoomScale="115" zoomScaleNormal="115" workbookViewId="0">
      <selection activeCell="I17" sqref="I17"/>
    </sheetView>
  </sheetViews>
  <sheetFormatPr defaultRowHeight="14.4" x14ac:dyDescent="0.3"/>
  <cols>
    <col min="3" max="3" width="20.109375" customWidth="1"/>
    <col min="4" max="4" width="20.33203125" customWidth="1"/>
    <col min="15" max="15" width="16.33203125" bestFit="1" customWidth="1"/>
  </cols>
  <sheetData>
    <row r="1" spans="2:15" ht="15" thickBot="1" x14ac:dyDescent="0.35"/>
    <row r="2" spans="2:15" ht="15" customHeight="1" x14ac:dyDescent="0.5">
      <c r="B2" s="128" t="s">
        <v>59</v>
      </c>
      <c r="C2" s="129"/>
      <c r="D2" s="130"/>
      <c r="E2" s="7"/>
      <c r="F2" s="7"/>
    </row>
    <row r="3" spans="2:15" ht="15.75" customHeight="1" thickBot="1" x14ac:dyDescent="0.55000000000000004">
      <c r="B3" s="131"/>
      <c r="C3" s="132"/>
      <c r="D3" s="133"/>
      <c r="E3" s="7"/>
      <c r="F3" s="134" t="s">
        <v>60</v>
      </c>
      <c r="G3" s="134"/>
      <c r="H3" s="134"/>
    </row>
    <row r="4" spans="2:15" x14ac:dyDescent="0.3">
      <c r="F4" s="134"/>
      <c r="G4" s="134"/>
      <c r="H4" s="134"/>
    </row>
    <row r="5" spans="2:15" ht="18" x14ac:dyDescent="0.35">
      <c r="B5" s="8" t="s">
        <v>44</v>
      </c>
      <c r="C5" s="8" t="s">
        <v>61</v>
      </c>
      <c r="D5" s="8" t="s">
        <v>62</v>
      </c>
      <c r="F5" s="134"/>
      <c r="G5" s="134"/>
      <c r="H5" s="134"/>
    </row>
    <row r="6" spans="2:15" x14ac:dyDescent="0.3">
      <c r="B6" s="2">
        <v>101</v>
      </c>
      <c r="C6" s="2">
        <v>123</v>
      </c>
      <c r="D6" s="10" t="s">
        <v>63</v>
      </c>
    </row>
    <row r="7" spans="2:15" x14ac:dyDescent="0.3">
      <c r="B7" s="2">
        <v>102</v>
      </c>
      <c r="C7" s="2">
        <v>456</v>
      </c>
      <c r="D7" s="10" t="s">
        <v>64</v>
      </c>
    </row>
    <row r="8" spans="2:15" x14ac:dyDescent="0.3">
      <c r="B8" s="2">
        <v>103</v>
      </c>
      <c r="C8" s="2">
        <v>789</v>
      </c>
      <c r="D8" s="10" t="s">
        <v>65</v>
      </c>
    </row>
    <row r="9" spans="2:15" x14ac:dyDescent="0.3">
      <c r="B9" s="2">
        <v>104</v>
      </c>
      <c r="C9" s="2">
        <v>555</v>
      </c>
      <c r="D9" s="10" t="s">
        <v>65</v>
      </c>
      <c r="K9" t="s">
        <v>44</v>
      </c>
      <c r="L9" t="s">
        <v>1</v>
      </c>
      <c r="M9" t="s">
        <v>52</v>
      </c>
      <c r="N9" t="s">
        <v>6</v>
      </c>
      <c r="O9" t="s">
        <v>193</v>
      </c>
    </row>
    <row r="10" spans="2:15" x14ac:dyDescent="0.3">
      <c r="B10" s="2">
        <v>105</v>
      </c>
      <c r="C10" s="2">
        <v>666</v>
      </c>
      <c r="D10" s="10" t="s">
        <v>66</v>
      </c>
      <c r="K10">
        <v>101</v>
      </c>
      <c r="L10" t="str">
        <f>VLOOKUP(K10,wil_emp,2,0)</f>
        <v>ANIL</v>
      </c>
      <c r="M10" t="str">
        <f>VLOOKUP(K10,GOODLOCATION,2,0)</f>
        <v>STPS</v>
      </c>
      <c r="N10" t="str">
        <f>VLOOKUP(K10,GOODLOCATION,4,0)</f>
        <v>AM(PS)</v>
      </c>
      <c r="O10" s="177" t="str">
        <f>VLOOKUP(K10,wil_contact,3,0)</f>
        <v>a101@wbpdcl.co.in</v>
      </c>
    </row>
    <row r="11" spans="2:15" x14ac:dyDescent="0.3">
      <c r="K11">
        <v>102</v>
      </c>
      <c r="L11" t="str">
        <f>VLOOKUP(K11,wil_emp,2,0)</f>
        <v>PRIYA</v>
      </c>
      <c r="M11" t="str">
        <f>VLOOKUP(K11,GOODLOCATION,2,0)</f>
        <v>BTPS</v>
      </c>
      <c r="N11" t="str">
        <f>VLOOKUP(K11,GOODLOCATION,4,0)</f>
        <v>SM</v>
      </c>
      <c r="O11" s="177" t="str">
        <f>VLOOKUP(K11,wil_contact,3,0)</f>
        <v>a103@wbpdcl.co.in</v>
      </c>
    </row>
    <row r="12" spans="2:15" x14ac:dyDescent="0.3">
      <c r="K12">
        <v>103</v>
      </c>
      <c r="L12" t="str">
        <f>VLOOKUP(K12,wil_emp,2,0)</f>
        <v>Sunny</v>
      </c>
      <c r="M12" t="str">
        <f>VLOOKUP(K12,GOODLOCATION,2,0)</f>
        <v>CORPORATE</v>
      </c>
      <c r="N12" t="str">
        <f>VLOOKUP(K12,GOODLOCATION,4,0)</f>
        <v>AM(PS)</v>
      </c>
      <c r="O12" s="177" t="str">
        <f>VLOOKUP(K12,wil_contact,3,0)</f>
        <v>a104@wbpdcl.co.in</v>
      </c>
    </row>
    <row r="13" spans="2:15" x14ac:dyDescent="0.3">
      <c r="K13">
        <v>104</v>
      </c>
      <c r="L13" t="str">
        <f>VLOOKUP(K13,wil_emp,2,0)</f>
        <v>Rabin</v>
      </c>
      <c r="M13" t="str">
        <f>VLOOKUP(K13,GOODLOCATION,2,0)</f>
        <v>STPS</v>
      </c>
      <c r="N13" t="str">
        <f>VLOOKUP(K13,GOODLOCATION,4,0)</f>
        <v>SM</v>
      </c>
      <c r="O13" s="177" t="str">
        <f>VLOOKUP(K13,wil_contact,3,0)</f>
        <v>a104@wbpdcl.co.in</v>
      </c>
    </row>
    <row r="14" spans="2:15" x14ac:dyDescent="0.3">
      <c r="K14">
        <v>105</v>
      </c>
      <c r="L14" t="str">
        <f>VLOOKUP(K14,wil_emp,2,0)</f>
        <v>SENA</v>
      </c>
      <c r="M14" t="str">
        <f>VLOOKUP(K14,GOODLOCATION,2,0)</f>
        <v>CORPORATE</v>
      </c>
      <c r="N14" t="str">
        <f>VLOOKUP(K14,GOODLOCATION,4,0)</f>
        <v>DGM</v>
      </c>
      <c r="O14" s="177" t="str">
        <f>VLOOKUP(K14,wil_contact,3,0)</f>
        <v>a102@wbpdcl.co.in</v>
      </c>
    </row>
    <row r="15" spans="2:15" x14ac:dyDescent="0.3">
      <c r="O15" s="177"/>
    </row>
    <row r="16" spans="2:15" x14ac:dyDescent="0.3">
      <c r="O16" s="177"/>
    </row>
    <row r="17" spans="15:15" x14ac:dyDescent="0.3">
      <c r="O17" s="177"/>
    </row>
    <row r="18" spans="15:15" x14ac:dyDescent="0.3">
      <c r="O18" s="177"/>
    </row>
    <row r="19" spans="15:15" x14ac:dyDescent="0.3">
      <c r="O19" s="177"/>
    </row>
    <row r="20" spans="15:15" x14ac:dyDescent="0.3">
      <c r="O20" s="177"/>
    </row>
    <row r="21" spans="15:15" x14ac:dyDescent="0.3">
      <c r="O21" s="177"/>
    </row>
  </sheetData>
  <mergeCells count="2">
    <mergeCell ref="B2:D3"/>
    <mergeCell ref="F3:H5"/>
  </mergeCells>
  <hyperlinks>
    <hyperlink ref="D6" r:id="rId1" xr:uid="{00000000-0004-0000-0500-000000000000}"/>
    <hyperlink ref="D7" r:id="rId2" xr:uid="{00000000-0004-0000-0500-000001000000}"/>
    <hyperlink ref="D8:D10" r:id="rId3" display="a102@wbpdcl.co.in" xr:uid="{00000000-0004-0000-0500-000002000000}"/>
    <hyperlink ref="D8" r:id="rId4" xr:uid="{00000000-0004-0000-0500-000003000000}"/>
    <hyperlink ref="D9" r:id="rId5" xr:uid="{00000000-0004-0000-05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21"/>
  <sheetViews>
    <sheetView workbookViewId="0">
      <selection activeCell="C12" sqref="C12"/>
    </sheetView>
  </sheetViews>
  <sheetFormatPr defaultRowHeight="14.4" x14ac:dyDescent="0.3"/>
  <cols>
    <col min="3" max="3" width="20.109375" customWidth="1"/>
    <col min="4" max="4" width="20.33203125" customWidth="1"/>
    <col min="5" max="5" width="14.109375" customWidth="1"/>
    <col min="6" max="6" width="31.44140625" customWidth="1"/>
    <col min="7" max="7" width="0" hidden="1" customWidth="1"/>
    <col min="9" max="9" width="9.109375" hidden="1" customWidth="1"/>
  </cols>
  <sheetData>
    <row r="1" spans="2:7" ht="15" thickBot="1" x14ac:dyDescent="0.35">
      <c r="G1">
        <f>[1]VEP!B6</f>
        <v>101</v>
      </c>
    </row>
    <row r="2" spans="2:7" ht="15" customHeight="1" x14ac:dyDescent="0.5">
      <c r="B2" s="128" t="s">
        <v>67</v>
      </c>
      <c r="C2" s="129"/>
      <c r="D2" s="130"/>
      <c r="E2" s="7"/>
      <c r="F2" s="7"/>
      <c r="G2">
        <f>[1]VEP!B7</f>
        <v>102</v>
      </c>
    </row>
    <row r="3" spans="2:7" ht="15.75" customHeight="1" thickBot="1" x14ac:dyDescent="0.55000000000000004">
      <c r="B3" s="131"/>
      <c r="C3" s="132"/>
      <c r="D3" s="133"/>
      <c r="E3" s="7"/>
      <c r="F3" s="7"/>
      <c r="G3">
        <f>[1]VEP!B8</f>
        <v>103</v>
      </c>
    </row>
    <row r="4" spans="2:7" x14ac:dyDescent="0.3">
      <c r="G4">
        <f>[1]VEP!B9</f>
        <v>104</v>
      </c>
    </row>
    <row r="5" spans="2:7" x14ac:dyDescent="0.3">
      <c r="C5" s="11" t="s">
        <v>68</v>
      </c>
      <c r="D5" s="12" t="s">
        <v>69</v>
      </c>
      <c r="E5" s="13" t="s">
        <v>70</v>
      </c>
      <c r="G5">
        <f>[1]VEP!B10</f>
        <v>105</v>
      </c>
    </row>
    <row r="11" spans="2:7" ht="18" x14ac:dyDescent="0.35">
      <c r="B11" s="8" t="s">
        <v>44</v>
      </c>
      <c r="C11" s="14" t="s">
        <v>1</v>
      </c>
      <c r="D11" s="15" t="s">
        <v>52</v>
      </c>
      <c r="E11" s="16" t="s">
        <v>61</v>
      </c>
    </row>
    <row r="12" spans="2:7" x14ac:dyDescent="0.3">
      <c r="B12" s="6">
        <v>401</v>
      </c>
      <c r="C12" t="str">
        <f>IFERROR(VLOOKUP(B12,wil_emp,2,0),"id not found")</f>
        <v>baishakhi</v>
      </c>
      <c r="D12" t="str">
        <f>IFERROR(VLOOKUP(B12,wil_job,3,0),"location not found")</f>
        <v>location not found</v>
      </c>
      <c r="E12" t="str">
        <f>IFERROR(VLOOKUP(B12,wil_contact,2,0),"Mobile no is not found")</f>
        <v>Mobile no is not found</v>
      </c>
    </row>
    <row r="20" spans="2:5" ht="18" x14ac:dyDescent="0.35">
      <c r="B20" s="8" t="s">
        <v>44</v>
      </c>
      <c r="C20" s="14" t="s">
        <v>1</v>
      </c>
      <c r="D20" s="15" t="s">
        <v>52</v>
      </c>
      <c r="E20" s="16" t="s">
        <v>61</v>
      </c>
    </row>
    <row r="21" spans="2:5" ht="36.6" x14ac:dyDescent="0.7">
      <c r="B21">
        <v>209</v>
      </c>
      <c r="C21" s="112" t="str">
        <f>IFERROR(VLOOKUP(B21,wil_emp,2,0),"Mis Number NOT Found")</f>
        <v>Mis Number NOT Found</v>
      </c>
      <c r="D21" s="112"/>
      <c r="E21" s="112"/>
    </row>
  </sheetData>
  <mergeCells count="1">
    <mergeCell ref="B2: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17"/>
  <sheetViews>
    <sheetView topLeftCell="C1" workbookViewId="0">
      <selection activeCell="C6" sqref="C6"/>
    </sheetView>
  </sheetViews>
  <sheetFormatPr defaultRowHeight="14.4" x14ac:dyDescent="0.3"/>
  <cols>
    <col min="3" max="3" width="20.109375" customWidth="1"/>
    <col min="4" max="4" width="19" customWidth="1"/>
    <col min="5" max="5" width="19.109375" customWidth="1"/>
    <col min="6" max="6" width="12" customWidth="1"/>
    <col min="10" max="10" width="9.88671875" customWidth="1"/>
    <col min="15" max="15" width="11" customWidth="1"/>
  </cols>
  <sheetData>
    <row r="1" spans="2:15" ht="15" thickBot="1" x14ac:dyDescent="0.35"/>
    <row r="2" spans="2:15" ht="15" customHeight="1" x14ac:dyDescent="0.3">
      <c r="B2" s="128" t="s">
        <v>71</v>
      </c>
      <c r="C2" s="129"/>
      <c r="D2" s="129"/>
      <c r="E2" s="129"/>
      <c r="F2" s="130"/>
      <c r="J2" s="104" t="s">
        <v>0</v>
      </c>
      <c r="O2" s="103" t="s">
        <v>0</v>
      </c>
    </row>
    <row r="3" spans="2:15" ht="15.75" customHeight="1" thickBot="1" x14ac:dyDescent="0.35">
      <c r="B3" s="131"/>
      <c r="C3" s="132"/>
      <c r="D3" s="132"/>
      <c r="E3" s="132"/>
      <c r="F3" s="133"/>
      <c r="J3" s="31">
        <v>101</v>
      </c>
      <c r="O3" s="102"/>
    </row>
    <row r="4" spans="2:15" ht="15.75" customHeight="1" x14ac:dyDescent="0.5">
      <c r="B4" s="17"/>
      <c r="C4" s="17"/>
      <c r="D4" s="17"/>
      <c r="E4" s="17"/>
      <c r="F4" s="17"/>
      <c r="J4" s="34">
        <v>102</v>
      </c>
    </row>
    <row r="5" spans="2:15" ht="15" customHeight="1" x14ac:dyDescent="0.35">
      <c r="B5" s="18" t="s">
        <v>44</v>
      </c>
      <c r="C5" s="18" t="s">
        <v>52</v>
      </c>
      <c r="D5" s="18" t="s">
        <v>72</v>
      </c>
      <c r="F5" t="s">
        <v>44</v>
      </c>
      <c r="G5" s="36"/>
      <c r="J5" s="31">
        <v>103</v>
      </c>
    </row>
    <row r="6" spans="2:15" ht="15" customHeight="1" x14ac:dyDescent="0.35">
      <c r="B6" s="19">
        <v>101</v>
      </c>
      <c r="C6" s="19" t="str">
        <f>VLOOKUP(B6,Table4[#All],2,0)</f>
        <v>STPS</v>
      </c>
      <c r="J6" s="34">
        <v>104</v>
      </c>
    </row>
    <row r="7" spans="2:15" ht="15" customHeight="1" x14ac:dyDescent="0.35">
      <c r="B7" s="20"/>
      <c r="C7" s="20"/>
      <c r="J7" s="31">
        <v>555</v>
      </c>
    </row>
    <row r="8" spans="2:15" ht="15" customHeight="1" x14ac:dyDescent="0.35">
      <c r="B8" s="20"/>
      <c r="C8" s="20"/>
      <c r="J8" s="34">
        <v>106</v>
      </c>
    </row>
    <row r="9" spans="2:15" ht="15" customHeight="1" x14ac:dyDescent="0.35">
      <c r="B9" s="20"/>
      <c r="C9" s="20"/>
      <c r="J9" s="31">
        <v>222</v>
      </c>
    </row>
    <row r="10" spans="2:15" ht="18.75" customHeight="1" x14ac:dyDescent="0.35">
      <c r="B10" s="21" t="s">
        <v>44</v>
      </c>
      <c r="C10" s="22" t="s">
        <v>52</v>
      </c>
      <c r="D10" s="22" t="s">
        <v>53</v>
      </c>
      <c r="E10" s="22" t="s">
        <v>54</v>
      </c>
      <c r="F10" s="23" t="s">
        <v>55</v>
      </c>
      <c r="J10" s="31">
        <v>233</v>
      </c>
    </row>
    <row r="11" spans="2:15" x14ac:dyDescent="0.3">
      <c r="B11" s="24">
        <v>101</v>
      </c>
      <c r="C11" s="25" t="s">
        <v>38</v>
      </c>
      <c r="D11" s="25" t="s">
        <v>15</v>
      </c>
      <c r="E11" s="25" t="s">
        <v>56</v>
      </c>
      <c r="F11" s="26">
        <v>32000</v>
      </c>
      <c r="J11" s="31">
        <v>333</v>
      </c>
    </row>
    <row r="12" spans="2:15" x14ac:dyDescent="0.3">
      <c r="B12" s="27">
        <v>102</v>
      </c>
      <c r="C12" s="28" t="s">
        <v>9</v>
      </c>
      <c r="D12" s="28" t="s">
        <v>11</v>
      </c>
      <c r="E12" s="28" t="s">
        <v>18</v>
      </c>
      <c r="F12" s="29">
        <v>75000</v>
      </c>
      <c r="J12" s="31">
        <v>444</v>
      </c>
    </row>
    <row r="13" spans="2:15" x14ac:dyDescent="0.3">
      <c r="B13" s="24">
        <v>103</v>
      </c>
      <c r="C13" s="25" t="s">
        <v>57</v>
      </c>
      <c r="D13" s="25" t="s">
        <v>36</v>
      </c>
      <c r="E13" s="25" t="s">
        <v>56</v>
      </c>
      <c r="F13" s="26">
        <v>40000</v>
      </c>
      <c r="J13" s="25">
        <v>666</v>
      </c>
    </row>
    <row r="14" spans="2:15" x14ac:dyDescent="0.3">
      <c r="B14" s="27">
        <v>104</v>
      </c>
      <c r="C14" s="28" t="s">
        <v>38</v>
      </c>
      <c r="D14" s="28" t="s">
        <v>36</v>
      </c>
      <c r="E14" s="28" t="s">
        <v>18</v>
      </c>
      <c r="F14" s="29">
        <v>80000</v>
      </c>
      <c r="J14" s="105">
        <v>777</v>
      </c>
    </row>
    <row r="15" spans="2:15" x14ac:dyDescent="0.3">
      <c r="B15" s="30">
        <v>555</v>
      </c>
      <c r="C15" s="31" t="s">
        <v>57</v>
      </c>
      <c r="D15" s="31" t="s">
        <v>11</v>
      </c>
      <c r="E15" s="31" t="s">
        <v>58</v>
      </c>
      <c r="F15" s="32">
        <v>110000</v>
      </c>
      <c r="J15" s="31">
        <v>8888</v>
      </c>
    </row>
    <row r="16" spans="2:15" x14ac:dyDescent="0.3">
      <c r="B16" s="33">
        <v>106</v>
      </c>
      <c r="C16" s="34" t="s">
        <v>57</v>
      </c>
      <c r="D16" s="34" t="s">
        <v>36</v>
      </c>
      <c r="E16" s="34" t="s">
        <v>18</v>
      </c>
      <c r="F16" s="35">
        <v>72350</v>
      </c>
      <c r="J16" s="31">
        <v>999</v>
      </c>
    </row>
    <row r="17" spans="2:6" x14ac:dyDescent="0.3">
      <c r="B17" s="30">
        <v>222</v>
      </c>
      <c r="C17" s="31" t="s">
        <v>38</v>
      </c>
      <c r="D17" s="31" t="s">
        <v>73</v>
      </c>
      <c r="E17" s="31" t="s">
        <v>18</v>
      </c>
      <c r="F17" s="32">
        <v>80000</v>
      </c>
    </row>
  </sheetData>
  <mergeCells count="1">
    <mergeCell ref="B2:F3"/>
  </mergeCells>
  <dataValidations count="2">
    <dataValidation type="list" allowBlank="1" showInputMessage="1" showErrorMessage="1" sqref="B6 G5" xr:uid="{00000000-0002-0000-0200-000000000000}">
      <formula1>$B$11:$B$17</formula1>
    </dataValidation>
    <dataValidation type="list" allowBlank="1" showInputMessage="1" showErrorMessage="1" sqref="O3" xr:uid="{D7EEB353-0621-41A0-9E9C-E7FD7945AF43}">
      <formula1>$J$3:$J$14</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workbookViewId="0">
      <selection activeCell="D13" sqref="D13"/>
    </sheetView>
  </sheetViews>
  <sheetFormatPr defaultRowHeight="14.4" x14ac:dyDescent="0.3"/>
  <cols>
    <col min="1" max="1" width="12.109375" customWidth="1"/>
    <col min="2" max="2" width="11.5546875" bestFit="1" customWidth="1"/>
    <col min="3" max="3" width="17.109375" customWidth="1"/>
    <col min="4" max="4" width="23" customWidth="1"/>
    <col min="6" max="6" width="9.88671875" bestFit="1" customWidth="1"/>
    <col min="7" max="7" width="12.6640625" customWidth="1"/>
  </cols>
  <sheetData>
    <row r="1" spans="1:10" x14ac:dyDescent="0.3">
      <c r="B1" s="135" t="s">
        <v>74</v>
      </c>
      <c r="C1" s="136"/>
      <c r="D1" s="136"/>
      <c r="E1" s="136"/>
      <c r="F1" s="136"/>
      <c r="G1" s="136"/>
      <c r="H1" s="136"/>
      <c r="I1" s="136"/>
      <c r="J1" s="137"/>
    </row>
    <row r="2" spans="1:10" ht="15" thickBot="1" x14ac:dyDescent="0.35">
      <c r="B2" s="138"/>
      <c r="C2" s="139"/>
      <c r="D2" s="139"/>
      <c r="E2" s="139"/>
      <c r="F2" s="139"/>
      <c r="G2" s="139"/>
      <c r="H2" s="139"/>
      <c r="I2" s="139"/>
      <c r="J2" s="140"/>
    </row>
    <row r="4" spans="1:10" ht="23.4" x14ac:dyDescent="0.45">
      <c r="A4" s="44" t="s">
        <v>75</v>
      </c>
      <c r="B4" s="44" t="s">
        <v>76</v>
      </c>
      <c r="C4" s="44" t="s">
        <v>77</v>
      </c>
      <c r="D4" s="44" t="s">
        <v>78</v>
      </c>
      <c r="F4" s="39" t="s">
        <v>76</v>
      </c>
      <c r="G4" s="39" t="s">
        <v>77</v>
      </c>
    </row>
    <row r="5" spans="1:10" ht="23.4" x14ac:dyDescent="0.45">
      <c r="A5" s="42" t="s">
        <v>79</v>
      </c>
      <c r="B5" s="42">
        <v>100</v>
      </c>
      <c r="C5" s="43">
        <f>VLOOKUP(B5,MEHPHUG_COMM,2,1)</f>
        <v>0.08</v>
      </c>
      <c r="D5" s="42">
        <f>B5*C5</f>
        <v>8</v>
      </c>
      <c r="F5" s="16">
        <v>0</v>
      </c>
      <c r="G5" s="41">
        <v>0.08</v>
      </c>
    </row>
    <row r="6" spans="1:10" ht="23.4" x14ac:dyDescent="0.45">
      <c r="A6" s="42" t="s">
        <v>80</v>
      </c>
      <c r="B6" s="42">
        <v>60000</v>
      </c>
      <c r="C6" s="43">
        <f>VLOOKUP(B6,MEHPHUG_COMM,2,1)</f>
        <v>0.05</v>
      </c>
      <c r="D6" s="42">
        <f t="shared" ref="D6:D10" si="0">B6*C6</f>
        <v>3000</v>
      </c>
      <c r="F6" s="16">
        <v>55000</v>
      </c>
      <c r="G6" s="41">
        <v>0.05</v>
      </c>
    </row>
    <row r="7" spans="1:10" ht="23.4" x14ac:dyDescent="0.45">
      <c r="A7" s="42" t="s">
        <v>81</v>
      </c>
      <c r="B7" s="42">
        <v>75000</v>
      </c>
      <c r="C7" s="43">
        <f>VLOOKUP(B7,MEHPHUG_COMM,2,1)</f>
        <v>0.05</v>
      </c>
      <c r="D7" s="42">
        <f t="shared" si="0"/>
        <v>3750</v>
      </c>
      <c r="F7" s="16">
        <v>90000</v>
      </c>
      <c r="G7" s="41">
        <v>0.04</v>
      </c>
    </row>
    <row r="8" spans="1:10" ht="23.4" x14ac:dyDescent="0.45">
      <c r="A8" s="42" t="s">
        <v>82</v>
      </c>
      <c r="B8" s="42">
        <v>100000</v>
      </c>
      <c r="C8" s="43">
        <f>VLOOKUP(B8,MEHPHUG_COMM,2,1)</f>
        <v>0.04</v>
      </c>
      <c r="D8" s="42">
        <f t="shared" si="0"/>
        <v>4000</v>
      </c>
      <c r="F8" s="16">
        <v>110000</v>
      </c>
      <c r="G8" s="41">
        <v>0.11</v>
      </c>
    </row>
    <row r="9" spans="1:10" ht="23.4" x14ac:dyDescent="0.45">
      <c r="A9" s="42" t="s">
        <v>83</v>
      </c>
      <c r="B9" s="42">
        <v>120000</v>
      </c>
      <c r="C9" s="43">
        <f>VLOOKUP(B9,MEHPHUG_COMM,2,1)</f>
        <v>0.13</v>
      </c>
      <c r="D9" s="42">
        <f t="shared" si="0"/>
        <v>15600</v>
      </c>
      <c r="F9" s="16">
        <v>120000</v>
      </c>
      <c r="G9" s="41">
        <v>0.13</v>
      </c>
    </row>
    <row r="10" spans="1:10" ht="23.4" x14ac:dyDescent="0.45">
      <c r="A10" s="42" t="s">
        <v>84</v>
      </c>
      <c r="B10" s="42">
        <v>160000</v>
      </c>
      <c r="C10" s="43">
        <f>VLOOKUP(B10,MEHPHUG_COMM,2,1)</f>
        <v>0.15</v>
      </c>
      <c r="D10" s="42">
        <f t="shared" si="0"/>
        <v>24000</v>
      </c>
      <c r="F10" s="16">
        <v>150000</v>
      </c>
      <c r="G10" s="41">
        <v>0.15</v>
      </c>
    </row>
  </sheetData>
  <mergeCells count="1">
    <mergeCell ref="B1: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
  <sheetViews>
    <sheetView tabSelected="1" workbookViewId="0">
      <selection activeCell="J14" sqref="J14"/>
    </sheetView>
  </sheetViews>
  <sheetFormatPr defaultRowHeight="14.4" x14ac:dyDescent="0.3"/>
  <cols>
    <col min="4" max="4" width="11.88671875" bestFit="1" customWidth="1"/>
    <col min="9" max="9" width="16.33203125" customWidth="1"/>
    <col min="10" max="10" width="17.44140625" customWidth="1"/>
    <col min="11" max="11" width="15.6640625" customWidth="1"/>
    <col min="12" max="12" width="15.33203125" bestFit="1" customWidth="1"/>
    <col min="13" max="13" width="11.44140625" bestFit="1" customWidth="1"/>
    <col min="15" max="15" width="17.33203125" customWidth="1"/>
  </cols>
  <sheetData>
    <row r="1" spans="1:16" ht="15" customHeight="1" x14ac:dyDescent="0.3">
      <c r="B1" s="141" t="s">
        <v>74</v>
      </c>
      <c r="C1" s="142"/>
      <c r="D1" s="142"/>
      <c r="E1" s="142"/>
      <c r="F1" s="142"/>
      <c r="G1" s="142"/>
      <c r="H1" s="142"/>
      <c r="I1" s="142"/>
      <c r="J1" s="143"/>
    </row>
    <row r="2" spans="1:16" ht="15.75" customHeight="1" thickBot="1" x14ac:dyDescent="0.35">
      <c r="B2" s="144"/>
      <c r="C2" s="145"/>
      <c r="D2" s="145"/>
      <c r="E2" s="145"/>
      <c r="F2" s="145"/>
      <c r="G2" s="145"/>
      <c r="H2" s="145"/>
      <c r="I2" s="145"/>
      <c r="J2" s="146"/>
    </row>
    <row r="3" spans="1:16" ht="15.75" customHeight="1" x14ac:dyDescent="0.3"/>
    <row r="4" spans="1:16" ht="23.4" x14ac:dyDescent="0.45">
      <c r="A4" s="53" t="s">
        <v>85</v>
      </c>
      <c r="B4" s="53" t="s">
        <v>86</v>
      </c>
      <c r="C4" s="53" t="s">
        <v>87</v>
      </c>
      <c r="D4" s="53" t="s">
        <v>88</v>
      </c>
      <c r="E4" s="53" t="s">
        <v>89</v>
      </c>
      <c r="F4" s="53" t="s">
        <v>90</v>
      </c>
      <c r="G4" s="53" t="s">
        <v>91</v>
      </c>
      <c r="H4" s="53" t="s">
        <v>92</v>
      </c>
      <c r="I4" s="53" t="s">
        <v>93</v>
      </c>
      <c r="J4" s="54" t="s">
        <v>94</v>
      </c>
      <c r="L4" s="50" t="s">
        <v>95</v>
      </c>
      <c r="M4" s="50" t="s">
        <v>96</v>
      </c>
      <c r="O4" s="89" t="s">
        <v>95</v>
      </c>
      <c r="P4" s="89" t="s">
        <v>96</v>
      </c>
    </row>
    <row r="5" spans="1:16" ht="23.4" x14ac:dyDescent="0.45">
      <c r="A5" s="45" t="s">
        <v>38</v>
      </c>
      <c r="B5" s="46">
        <v>284</v>
      </c>
      <c r="C5" s="46">
        <v>190</v>
      </c>
      <c r="D5" s="46">
        <v>295</v>
      </c>
      <c r="E5" s="46">
        <v>400</v>
      </c>
      <c r="F5" s="46">
        <v>700</v>
      </c>
      <c r="G5" s="46">
        <f>SUM(B5:F5)</f>
        <v>1869</v>
      </c>
      <c r="H5" s="46">
        <f t="shared" ref="H5:H6" si="0">AVERAGE(B5:F5)</f>
        <v>373.8</v>
      </c>
      <c r="I5" s="56"/>
      <c r="J5" s="55" t="str">
        <f>VLOOKUP(H5,Mehphug_grade,2,1)</f>
        <v>B</v>
      </c>
      <c r="L5" s="51">
        <v>0</v>
      </c>
      <c r="M5" s="52" t="s">
        <v>97</v>
      </c>
      <c r="O5" s="90">
        <v>0</v>
      </c>
      <c r="P5" s="91" t="s">
        <v>97</v>
      </c>
    </row>
    <row r="6" spans="1:16" ht="25.8" x14ac:dyDescent="0.5">
      <c r="A6" s="45" t="s">
        <v>98</v>
      </c>
      <c r="B6" s="47">
        <v>315</v>
      </c>
      <c r="C6" s="47">
        <v>330</v>
      </c>
      <c r="D6" s="47">
        <v>340</v>
      </c>
      <c r="E6" s="47">
        <v>500</v>
      </c>
      <c r="F6" s="47">
        <v>800</v>
      </c>
      <c r="G6" s="46">
        <f>SUM(B6:F6)</f>
        <v>2285</v>
      </c>
      <c r="H6" s="46">
        <f t="shared" si="0"/>
        <v>457</v>
      </c>
      <c r="I6" s="56"/>
      <c r="J6" s="55" t="str">
        <f>VLOOKUP(H6,Mehphug_grade,2,1)</f>
        <v>A</v>
      </c>
      <c r="L6" s="51">
        <v>200</v>
      </c>
      <c r="M6" s="52" t="s">
        <v>99</v>
      </c>
      <c r="O6" s="90">
        <v>200</v>
      </c>
      <c r="P6" s="91" t="s">
        <v>99</v>
      </c>
    </row>
    <row r="7" spans="1:16" ht="25.8" x14ac:dyDescent="0.5">
      <c r="A7" s="45" t="s">
        <v>9</v>
      </c>
      <c r="B7" s="47">
        <v>200</v>
      </c>
      <c r="C7" s="47">
        <v>300</v>
      </c>
      <c r="D7" s="47">
        <v>150</v>
      </c>
      <c r="E7" s="47">
        <v>120</v>
      </c>
      <c r="F7" s="47">
        <v>700</v>
      </c>
      <c r="G7" s="46">
        <f>SUM(B7:F7)</f>
        <v>1470</v>
      </c>
      <c r="H7" s="46">
        <f>AVERAGE(B7:F7)</f>
        <v>294</v>
      </c>
      <c r="I7" s="56"/>
      <c r="J7" s="55" t="str">
        <f>VLOOKUP(H7,Mehphug_grade,2,1)</f>
        <v>C</v>
      </c>
      <c r="L7" s="51">
        <v>300</v>
      </c>
      <c r="M7" s="52" t="s">
        <v>100</v>
      </c>
      <c r="O7" s="90">
        <v>300</v>
      </c>
      <c r="P7" s="91" t="s">
        <v>100</v>
      </c>
    </row>
    <row r="8" spans="1:16" ht="25.8" x14ac:dyDescent="0.5">
      <c r="A8" s="45" t="s">
        <v>101</v>
      </c>
      <c r="B8" s="47">
        <v>100</v>
      </c>
      <c r="C8" s="47">
        <v>120</v>
      </c>
      <c r="D8" s="47">
        <v>110</v>
      </c>
      <c r="E8" s="47">
        <v>105</v>
      </c>
      <c r="F8" s="47">
        <v>800</v>
      </c>
      <c r="G8" s="46">
        <f>SUM(B8:F8)</f>
        <v>1235</v>
      </c>
      <c r="H8" s="46">
        <f>AVERAGE(B8:F8)</f>
        <v>247</v>
      </c>
      <c r="I8" s="56"/>
      <c r="J8" s="55" t="str">
        <f>VLOOKUP(H8,Mehphug_grade,2,1)</f>
        <v>C</v>
      </c>
      <c r="L8" s="51">
        <v>401</v>
      </c>
      <c r="M8" s="52" t="s">
        <v>102</v>
      </c>
      <c r="O8" s="90">
        <v>401</v>
      </c>
      <c r="P8" s="91" t="s">
        <v>102</v>
      </c>
    </row>
    <row r="9" spans="1:16" ht="25.8" x14ac:dyDescent="0.5">
      <c r="A9" s="45" t="s">
        <v>28</v>
      </c>
      <c r="B9" s="47">
        <v>50</v>
      </c>
      <c r="C9" s="47">
        <v>20</v>
      </c>
      <c r="D9" s="47">
        <v>30</v>
      </c>
      <c r="E9" s="47">
        <v>40</v>
      </c>
      <c r="F9" s="47">
        <v>50</v>
      </c>
      <c r="G9" s="46">
        <f>SUM(B9:F9)</f>
        <v>190</v>
      </c>
      <c r="H9" s="46">
        <f>AVERAGE(B9:F9)</f>
        <v>38</v>
      </c>
      <c r="I9" s="56"/>
      <c r="J9" s="55" t="str">
        <f>VLOOKUP(H9,Mehphug_grade,2,1)</f>
        <v>D</v>
      </c>
    </row>
    <row r="10" spans="1:16" x14ac:dyDescent="0.3">
      <c r="M10" s="48"/>
    </row>
    <row r="11" spans="1:16" x14ac:dyDescent="0.3">
      <c r="L11" s="48"/>
    </row>
  </sheetData>
  <mergeCells count="1">
    <mergeCell ref="B1: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92AD-BD5E-401D-B988-38F9A5E49382}">
  <dimension ref="A1:AA20"/>
  <sheetViews>
    <sheetView workbookViewId="0">
      <selection activeCell="I2" sqref="I2"/>
    </sheetView>
  </sheetViews>
  <sheetFormatPr defaultRowHeight="14.4" x14ac:dyDescent="0.3"/>
  <cols>
    <col min="9" max="9" width="10.44140625" bestFit="1" customWidth="1"/>
    <col min="10" max="10" width="14.88671875" customWidth="1"/>
    <col min="11" max="17" width="10.44140625" bestFit="1" customWidth="1"/>
  </cols>
  <sheetData>
    <row r="1" spans="1:27" x14ac:dyDescent="0.3">
      <c r="A1" t="s">
        <v>181</v>
      </c>
      <c r="B1" t="s">
        <v>182</v>
      </c>
      <c r="C1" t="s">
        <v>183</v>
      </c>
      <c r="I1" s="99">
        <v>45413</v>
      </c>
    </row>
    <row r="2" spans="1:27" x14ac:dyDescent="0.3">
      <c r="I2" s="100">
        <v>45418</v>
      </c>
      <c r="J2" s="88"/>
      <c r="K2" s="101">
        <v>45418</v>
      </c>
      <c r="L2" s="88"/>
      <c r="M2" s="88"/>
      <c r="N2" s="88"/>
      <c r="O2" s="88"/>
      <c r="P2" s="88"/>
      <c r="Q2" s="88"/>
      <c r="R2" s="88"/>
      <c r="S2" s="88"/>
      <c r="T2" s="88"/>
      <c r="U2" s="88"/>
      <c r="V2" s="88"/>
      <c r="W2" s="88"/>
      <c r="X2" s="88"/>
      <c r="Y2" s="88"/>
      <c r="Z2" s="88"/>
      <c r="AA2" s="88"/>
    </row>
    <row r="3" spans="1:27" x14ac:dyDescent="0.3">
      <c r="I3" s="100">
        <v>45419</v>
      </c>
      <c r="K3" s="101">
        <v>45419</v>
      </c>
    </row>
    <row r="4" spans="1:27" x14ac:dyDescent="0.3">
      <c r="I4" s="100">
        <v>45420</v>
      </c>
      <c r="K4" s="101">
        <v>45420</v>
      </c>
    </row>
    <row r="5" spans="1:27" x14ac:dyDescent="0.3">
      <c r="I5" s="100">
        <v>45421</v>
      </c>
      <c r="K5" s="101">
        <v>45421</v>
      </c>
    </row>
    <row r="6" spans="1:27" x14ac:dyDescent="0.3">
      <c r="I6" s="100">
        <v>45422</v>
      </c>
      <c r="K6" s="101">
        <v>45422</v>
      </c>
    </row>
    <row r="7" spans="1:27" x14ac:dyDescent="0.3">
      <c r="I7" s="100">
        <v>45425</v>
      </c>
      <c r="K7" s="101">
        <v>45425</v>
      </c>
    </row>
    <row r="8" spans="1:27" x14ac:dyDescent="0.3">
      <c r="I8" s="100">
        <v>45426</v>
      </c>
      <c r="K8" s="101">
        <v>45426</v>
      </c>
    </row>
    <row r="9" spans="1:27" x14ac:dyDescent="0.3">
      <c r="I9" s="100">
        <v>45427</v>
      </c>
      <c r="K9" s="101">
        <v>45427</v>
      </c>
    </row>
    <row r="10" spans="1:27" x14ac:dyDescent="0.3">
      <c r="I10" s="100">
        <v>45428</v>
      </c>
      <c r="K10" s="101">
        <v>45428</v>
      </c>
    </row>
    <row r="11" spans="1:27" x14ac:dyDescent="0.3">
      <c r="I11" s="100">
        <v>45429</v>
      </c>
      <c r="K11" s="101">
        <v>45429</v>
      </c>
    </row>
    <row r="12" spans="1:27" x14ac:dyDescent="0.3">
      <c r="I12" s="100">
        <v>45432</v>
      </c>
      <c r="K12" s="101">
        <v>45432</v>
      </c>
    </row>
    <row r="13" spans="1:27" x14ac:dyDescent="0.3">
      <c r="I13" s="100">
        <v>45433</v>
      </c>
    </row>
    <row r="14" spans="1:27" x14ac:dyDescent="0.3">
      <c r="I14" s="100">
        <v>45434</v>
      </c>
    </row>
    <row r="15" spans="1:27" x14ac:dyDescent="0.3">
      <c r="I15" s="100">
        <v>45435</v>
      </c>
    </row>
    <row r="16" spans="1:27" x14ac:dyDescent="0.3">
      <c r="I16" s="100">
        <v>45436</v>
      </c>
    </row>
    <row r="17" spans="9:9" x14ac:dyDescent="0.3">
      <c r="I17" s="100">
        <v>45439</v>
      </c>
    </row>
    <row r="18" spans="9:9" x14ac:dyDescent="0.3">
      <c r="I18" s="100">
        <v>45440</v>
      </c>
    </row>
    <row r="19" spans="9:9" x14ac:dyDescent="0.3">
      <c r="I19" s="100">
        <v>45441</v>
      </c>
    </row>
    <row r="20" spans="9:9" x14ac:dyDescent="0.3">
      <c r="I20" s="100">
        <v>45442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6"/>
  <sheetViews>
    <sheetView workbookViewId="0">
      <selection activeCell="B3" sqref="B3"/>
    </sheetView>
  </sheetViews>
  <sheetFormatPr defaultRowHeight="14.4" x14ac:dyDescent="0.3"/>
  <cols>
    <col min="1" max="1" width="19.109375" bestFit="1" customWidth="1"/>
    <col min="2" max="2" width="17.33203125" customWidth="1"/>
    <col min="4" max="4" width="16.109375" bestFit="1" customWidth="1"/>
    <col min="5" max="5" width="17.44140625" customWidth="1"/>
    <col min="7" max="7" width="15.6640625" customWidth="1"/>
    <col min="8" max="8" width="19.44140625" customWidth="1"/>
    <col min="10" max="10" width="16.109375" bestFit="1" customWidth="1"/>
    <col min="11" max="11" width="15.33203125" customWidth="1"/>
  </cols>
  <sheetData>
    <row r="1" spans="1:11" ht="21" x14ac:dyDescent="0.4">
      <c r="A1" s="69" t="s">
        <v>85</v>
      </c>
      <c r="B1" s="70" t="s">
        <v>9</v>
      </c>
      <c r="D1" s="147" t="s">
        <v>9</v>
      </c>
      <c r="E1" s="147"/>
      <c r="G1" s="148" t="s">
        <v>38</v>
      </c>
      <c r="H1" s="148"/>
      <c r="J1" s="149" t="s">
        <v>28</v>
      </c>
      <c r="K1" s="149"/>
    </row>
    <row r="2" spans="1:11" ht="30" x14ac:dyDescent="0.4">
      <c r="A2" s="69" t="s">
        <v>72</v>
      </c>
      <c r="B2" s="71" t="s">
        <v>36</v>
      </c>
      <c r="D2" s="73" t="s">
        <v>72</v>
      </c>
      <c r="E2" s="75" t="s">
        <v>165</v>
      </c>
      <c r="G2" s="73" t="s">
        <v>72</v>
      </c>
      <c r="H2" s="74" t="s">
        <v>165</v>
      </c>
      <c r="J2" s="73" t="s">
        <v>72</v>
      </c>
      <c r="K2" s="74" t="s">
        <v>165</v>
      </c>
    </row>
    <row r="3" spans="1:11" ht="21" x14ac:dyDescent="0.4">
      <c r="A3" s="69" t="s">
        <v>164</v>
      </c>
      <c r="B3" s="72" t="e">
        <f ca="1">VLOOKUP(B1,INDIRECT(B2),2,0)</f>
        <v>#REF!</v>
      </c>
      <c r="D3" s="73" t="s">
        <v>166</v>
      </c>
      <c r="E3" s="73">
        <v>2</v>
      </c>
      <c r="G3" s="73" t="s">
        <v>166</v>
      </c>
      <c r="H3" s="73">
        <v>44</v>
      </c>
      <c r="J3" s="73" t="s">
        <v>166</v>
      </c>
      <c r="K3" s="73">
        <v>4</v>
      </c>
    </row>
    <row r="4" spans="1:11" ht="21" x14ac:dyDescent="0.3">
      <c r="D4" s="73" t="s">
        <v>168</v>
      </c>
      <c r="E4" s="73">
        <v>5</v>
      </c>
      <c r="G4" s="73" t="s">
        <v>168</v>
      </c>
      <c r="H4" s="73">
        <v>22</v>
      </c>
      <c r="J4" s="73" t="s">
        <v>168</v>
      </c>
      <c r="K4" s="73">
        <v>2</v>
      </c>
    </row>
    <row r="5" spans="1:11" ht="21" x14ac:dyDescent="0.3">
      <c r="D5" s="73" t="s">
        <v>167</v>
      </c>
      <c r="E5" s="73">
        <v>10</v>
      </c>
      <c r="G5" s="73" t="s">
        <v>167</v>
      </c>
      <c r="H5" s="73">
        <v>11</v>
      </c>
      <c r="J5" s="73" t="s">
        <v>167</v>
      </c>
      <c r="K5" s="73">
        <v>1</v>
      </c>
    </row>
    <row r="6" spans="1:11" ht="21" x14ac:dyDescent="0.3">
      <c r="D6" s="73" t="s">
        <v>36</v>
      </c>
      <c r="E6" s="73">
        <v>3</v>
      </c>
      <c r="G6" s="73" t="s">
        <v>36</v>
      </c>
      <c r="H6" s="73">
        <v>33</v>
      </c>
      <c r="J6" s="73" t="s">
        <v>36</v>
      </c>
      <c r="K6" s="73">
        <v>3</v>
      </c>
    </row>
  </sheetData>
  <sortState xmlns:xlrd2="http://schemas.microsoft.com/office/spreadsheetml/2017/richdata2" ref="J3:K6">
    <sortCondition ref="J2"/>
  </sortState>
  <mergeCells count="3">
    <mergeCell ref="D1:E1"/>
    <mergeCell ref="G1:H1"/>
    <mergeCell ref="J1:K1"/>
  </mergeCells>
  <dataValidations count="2">
    <dataValidation type="list" allowBlank="1" showInputMessage="1" showErrorMessage="1" sqref="B1" xr:uid="{00000000-0002-0000-0900-000000000000}">
      <formula1>"BTPS,STPS,KTPS"</formula1>
    </dataValidation>
    <dataValidation type="list" allowBlank="1" showInputMessage="1" showErrorMessage="1" sqref="B2" xr:uid="{00000000-0002-0000-0900-000001000000}">
      <formula1>"FA,HR,IT,CIVIL"</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topLeftCell="A13" zoomScale="130" zoomScaleNormal="130" workbookViewId="0">
      <selection activeCell="G10" sqref="G10"/>
    </sheetView>
  </sheetViews>
  <sheetFormatPr defaultRowHeight="14.4" x14ac:dyDescent="0.3"/>
  <cols>
    <col min="1" max="1" width="17.109375" bestFit="1" customWidth="1"/>
    <col min="2" max="2" width="22.44140625" bestFit="1" customWidth="1"/>
    <col min="5" max="5" width="25.44140625" customWidth="1"/>
    <col min="6" max="6" width="15.88671875" customWidth="1"/>
  </cols>
  <sheetData>
    <row r="1" spans="1:8" ht="23.4" x14ac:dyDescent="0.45">
      <c r="A1" s="76" t="s">
        <v>170</v>
      </c>
      <c r="B1" s="76" t="s">
        <v>169</v>
      </c>
      <c r="C1" s="76" t="s">
        <v>171</v>
      </c>
      <c r="E1" s="68" t="s">
        <v>169</v>
      </c>
      <c r="G1" s="120" t="s">
        <v>186</v>
      </c>
      <c r="H1" s="120">
        <v>123</v>
      </c>
    </row>
    <row r="2" spans="1:8" ht="24" thickBot="1" x14ac:dyDescent="0.5">
      <c r="A2" s="42">
        <v>1</v>
      </c>
      <c r="B2" s="42" t="s">
        <v>172</v>
      </c>
      <c r="C2" s="42">
        <v>11</v>
      </c>
      <c r="E2" s="67" t="s">
        <v>174</v>
      </c>
      <c r="G2" s="121" t="b">
        <f>ISNUMBER(G1)</f>
        <v>0</v>
      </c>
      <c r="H2" s="121" t="b">
        <f>ISTEXT(H1)</f>
        <v>0</v>
      </c>
    </row>
    <row r="3" spans="1:8" ht="25.8" x14ac:dyDescent="0.5">
      <c r="A3" s="42">
        <v>2</v>
      </c>
      <c r="B3" s="42" t="s">
        <v>173</v>
      </c>
      <c r="C3" s="42">
        <v>22</v>
      </c>
      <c r="E3" s="77">
        <f>IF(ISNUMBER(E2),VLOOKUP(E2,A2:C6,3,0),VLOOKUP(E2,B2:C6,2,0))</f>
        <v>33</v>
      </c>
    </row>
    <row r="4" spans="1:8" ht="23.4" x14ac:dyDescent="0.45">
      <c r="A4" s="42">
        <v>3</v>
      </c>
      <c r="B4" s="42" t="s">
        <v>174</v>
      </c>
      <c r="C4" s="42">
        <v>33</v>
      </c>
    </row>
    <row r="5" spans="1:8" ht="31.2" x14ac:dyDescent="0.6">
      <c r="A5" s="42">
        <v>4</v>
      </c>
      <c r="B5" s="42" t="s">
        <v>175</v>
      </c>
      <c r="C5" s="42">
        <v>44</v>
      </c>
      <c r="E5" s="122" t="s">
        <v>187</v>
      </c>
      <c r="F5" s="116"/>
      <c r="G5" s="116"/>
      <c r="H5" s="116"/>
    </row>
    <row r="6" spans="1:8" ht="31.2" x14ac:dyDescent="0.6">
      <c r="A6" s="42">
        <v>5</v>
      </c>
      <c r="B6" s="42" t="s">
        <v>176</v>
      </c>
      <c r="C6" s="42">
        <v>55</v>
      </c>
      <c r="E6" s="118" t="s">
        <v>175</v>
      </c>
      <c r="F6" s="123" t="s">
        <v>174</v>
      </c>
    </row>
    <row r="7" spans="1:8" ht="39" customHeight="1" x14ac:dyDescent="0.6">
      <c r="E7" s="117" t="e">
        <f>VLOOKUP(E6,A2:C6,3,0)</f>
        <v>#N/A</v>
      </c>
      <c r="F7" s="110">
        <f>VLOOKUP(F6,B2:C6,2,0)</f>
        <v>33</v>
      </c>
    </row>
    <row r="8" spans="1:8" ht="31.2" x14ac:dyDescent="0.6">
      <c r="E8" s="119">
        <f>IF(ISNUMBER(E6),VLOOKUP(E6,A2:C6,3,0),VLOOKUP(E6,B2:C6,2,0))</f>
        <v>44</v>
      </c>
    </row>
    <row r="13" spans="1:8" ht="23.4" x14ac:dyDescent="0.45">
      <c r="A13" s="76" t="s">
        <v>170</v>
      </c>
      <c r="B13" s="76" t="s">
        <v>169</v>
      </c>
      <c r="C13" s="76" t="s">
        <v>171</v>
      </c>
      <c r="E13" s="68" t="s">
        <v>179</v>
      </c>
    </row>
    <row r="14" spans="1:8" ht="23.4" x14ac:dyDescent="0.45">
      <c r="A14" s="42">
        <v>1</v>
      </c>
      <c r="B14" s="42" t="s">
        <v>172</v>
      </c>
      <c r="C14" s="42">
        <v>11</v>
      </c>
      <c r="E14" s="67" t="s">
        <v>174</v>
      </c>
    </row>
    <row r="15" spans="1:8" ht="23.4" x14ac:dyDescent="0.45">
      <c r="A15" s="42">
        <v>2</v>
      </c>
      <c r="B15" s="42" t="s">
        <v>173</v>
      </c>
      <c r="C15" s="42">
        <v>22</v>
      </c>
      <c r="E15">
        <f>IF(ISTEXT(E14),VLOOKUP(E14,B14:C18,2,0),VLOOKUP(E14,A14:C18,3,0))</f>
        <v>33</v>
      </c>
    </row>
    <row r="16" spans="1:8" ht="23.4" x14ac:dyDescent="0.45">
      <c r="A16" s="42">
        <v>3</v>
      </c>
      <c r="B16" s="42" t="s">
        <v>174</v>
      </c>
      <c r="C16" s="42">
        <v>33</v>
      </c>
    </row>
    <row r="17" spans="1:3" ht="23.4" x14ac:dyDescent="0.45">
      <c r="A17" s="42">
        <v>4</v>
      </c>
      <c r="B17" s="42" t="s">
        <v>175</v>
      </c>
      <c r="C17" s="42">
        <v>44</v>
      </c>
    </row>
    <row r="18" spans="1:3" ht="23.4" x14ac:dyDescent="0.45">
      <c r="A18" s="42">
        <v>5</v>
      </c>
      <c r="B18" s="42" t="s">
        <v>176</v>
      </c>
      <c r="C18" s="42">
        <v>55</v>
      </c>
    </row>
    <row r="22" spans="1:3" x14ac:dyDescent="0.3">
      <c r="B22" s="36" t="s">
        <v>180</v>
      </c>
    </row>
    <row r="23" spans="1:3" x14ac:dyDescent="0.3">
      <c r="B23" s="93"/>
    </row>
  </sheetData>
  <dataValidations count="6">
    <dataValidation type="list" allowBlank="1" showInputMessage="1" showErrorMessage="1" sqref="E1" xr:uid="{00000000-0002-0000-0A00-000000000000}">
      <formula1>"Product_ID,Product_name"</formula1>
    </dataValidation>
    <dataValidation type="list" allowBlank="1" showInputMessage="1" showErrorMessage="1" sqref="E2" xr:uid="{00000000-0002-0000-0A00-000001000000}">
      <formula1>INDIRECT($E$1)</formula1>
    </dataValidation>
    <dataValidation type="list" allowBlank="1" showInputMessage="1" showErrorMessage="1" sqref="E13" xr:uid="{00000000-0002-0000-0A00-000002000000}">
      <formula1>"Product_ID,product_name"</formula1>
    </dataValidation>
    <dataValidation type="list" allowBlank="1" showInputMessage="1" showErrorMessage="1" sqref="E14" xr:uid="{00000000-0002-0000-0A00-000003000000}">
      <formula1>INDIRECT($E$13)</formula1>
    </dataValidation>
    <dataValidation type="list" allowBlank="1" showInputMessage="1" showErrorMessage="1" sqref="B22" xr:uid="{4BC01EE1-5D44-46BF-89EE-346A01888A59}">
      <formula1>"pradipmobile,pradipname"</formula1>
    </dataValidation>
    <dataValidation type="list" allowBlank="1" showInputMessage="1" showErrorMessage="1" sqref="B23" xr:uid="{4A804F56-59B3-436C-8DA0-47F628CEA206}">
      <formula1>INDIRECT($B$22)</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7"/>
  <sheetViews>
    <sheetView workbookViewId="0">
      <selection activeCell="C12" sqref="C12"/>
    </sheetView>
  </sheetViews>
  <sheetFormatPr defaultRowHeight="14.4" x14ac:dyDescent="0.3"/>
  <cols>
    <col min="1" max="1" width="12" bestFit="1" customWidth="1"/>
    <col min="2" max="2" width="20.88671875" customWidth="1"/>
    <col min="3" max="3" width="10.6640625" bestFit="1" customWidth="1"/>
    <col min="6" max="6" width="12" customWidth="1"/>
    <col min="8" max="8" width="10.44140625" bestFit="1" customWidth="1"/>
    <col min="10" max="10" width="9.109375" customWidth="1"/>
    <col min="11" max="11" width="11.33203125" customWidth="1"/>
    <col min="12" max="12" width="17.6640625" customWidth="1"/>
    <col min="13" max="13" width="13.5546875" customWidth="1"/>
    <col min="14" max="14" width="10.6640625" customWidth="1"/>
    <col min="15" max="15" width="10.44140625" customWidth="1"/>
  </cols>
  <sheetData>
    <row r="1" spans="1:15" ht="23.4" x14ac:dyDescent="0.45">
      <c r="A1" s="1" t="s">
        <v>0</v>
      </c>
      <c r="B1" s="1" t="s">
        <v>1</v>
      </c>
      <c r="C1" s="1" t="s">
        <v>2</v>
      </c>
      <c r="F1" s="1" t="s">
        <v>1</v>
      </c>
      <c r="G1" s="1" t="s">
        <v>5</v>
      </c>
      <c r="H1" s="1" t="s">
        <v>6</v>
      </c>
      <c r="I1" s="1" t="s">
        <v>7</v>
      </c>
      <c r="L1" s="1" t="s">
        <v>0</v>
      </c>
      <c r="M1" s="1" t="s">
        <v>1</v>
      </c>
      <c r="N1" s="1" t="s">
        <v>6</v>
      </c>
      <c r="O1" s="1" t="s">
        <v>7</v>
      </c>
    </row>
    <row r="2" spans="1:15" x14ac:dyDescent="0.3">
      <c r="A2" s="2">
        <v>11</v>
      </c>
      <c r="B2" s="2" t="s">
        <v>8</v>
      </c>
      <c r="C2" s="2" t="s">
        <v>9</v>
      </c>
      <c r="F2" s="2" t="s">
        <v>8</v>
      </c>
      <c r="G2" s="3" t="s">
        <v>11</v>
      </c>
      <c r="H2" s="4" t="s">
        <v>12</v>
      </c>
      <c r="I2" s="2">
        <v>30</v>
      </c>
      <c r="L2">
        <v>12</v>
      </c>
      <c r="M2" t="str">
        <f>VLOOKUP(L2,A2:C8,2,0)</f>
        <v>SOMA</v>
      </c>
      <c r="N2" t="str">
        <f>VLOOKUP(M2,F2:I8,3,0)</f>
        <v>MANAGER</v>
      </c>
      <c r="O2">
        <f>VLOOKUP(M2,F2:I8,4,0)</f>
        <v>20</v>
      </c>
    </row>
    <row r="3" spans="1:15" x14ac:dyDescent="0.3">
      <c r="A3" s="2">
        <v>12</v>
      </c>
      <c r="B3" s="2" t="s">
        <v>13</v>
      </c>
      <c r="C3" s="2" t="s">
        <v>9</v>
      </c>
      <c r="F3" s="2" t="s">
        <v>13</v>
      </c>
      <c r="G3" s="3" t="s">
        <v>15</v>
      </c>
      <c r="H3" s="4" t="s">
        <v>16</v>
      </c>
      <c r="I3" s="2">
        <v>20</v>
      </c>
      <c r="L3">
        <v>13</v>
      </c>
      <c r="M3" t="str">
        <f>VLOOKUP(L3,A3:C9,2,0)</f>
        <v>DOLA</v>
      </c>
      <c r="N3" t="str">
        <f>VLOOKUP(M3,F3:I9,3,0)</f>
        <v>SM</v>
      </c>
      <c r="O3">
        <f>VLOOKUP(M3,F3:I9,4,0)</f>
        <v>25002</v>
      </c>
    </row>
    <row r="4" spans="1:15" x14ac:dyDescent="0.3">
      <c r="A4" s="2">
        <v>13</v>
      </c>
      <c r="B4" s="2" t="s">
        <v>17</v>
      </c>
      <c r="C4" s="2" t="s">
        <v>9</v>
      </c>
      <c r="F4" s="2" t="s">
        <v>17</v>
      </c>
      <c r="G4" s="3" t="s">
        <v>11</v>
      </c>
      <c r="H4" s="4" t="s">
        <v>18</v>
      </c>
      <c r="I4" s="2">
        <v>25002</v>
      </c>
    </row>
    <row r="5" spans="1:15" x14ac:dyDescent="0.3">
      <c r="A5" s="2">
        <v>14</v>
      </c>
      <c r="B5" s="2" t="s">
        <v>19</v>
      </c>
      <c r="C5" s="2" t="s">
        <v>20</v>
      </c>
      <c r="F5" s="2" t="s">
        <v>19</v>
      </c>
      <c r="G5" s="3" t="s">
        <v>11</v>
      </c>
      <c r="H5" s="4" t="s">
        <v>12</v>
      </c>
      <c r="I5" s="2">
        <v>15500</v>
      </c>
    </row>
    <row r="6" spans="1:15" x14ac:dyDescent="0.3">
      <c r="A6" s="2">
        <v>15</v>
      </c>
      <c r="B6" s="2" t="s">
        <v>21</v>
      </c>
      <c r="C6" s="2" t="s">
        <v>20</v>
      </c>
      <c r="F6" s="2" t="s">
        <v>21</v>
      </c>
      <c r="G6" s="3" t="s">
        <v>11</v>
      </c>
      <c r="H6" s="4" t="s">
        <v>18</v>
      </c>
      <c r="I6" s="2">
        <v>25500</v>
      </c>
    </row>
    <row r="7" spans="1:15" x14ac:dyDescent="0.3">
      <c r="A7" s="2">
        <v>16</v>
      </c>
      <c r="B7" s="2" t="s">
        <v>22</v>
      </c>
      <c r="C7" s="2" t="s">
        <v>20</v>
      </c>
      <c r="F7" s="2" t="s">
        <v>22</v>
      </c>
      <c r="G7" s="3" t="s">
        <v>11</v>
      </c>
      <c r="H7" s="4" t="s">
        <v>12</v>
      </c>
      <c r="I7" s="2">
        <v>60</v>
      </c>
    </row>
    <row r="8" spans="1:15" x14ac:dyDescent="0.3">
      <c r="A8" s="2">
        <v>17</v>
      </c>
      <c r="B8" s="2" t="s">
        <v>23</v>
      </c>
      <c r="C8" s="2" t="s">
        <v>20</v>
      </c>
      <c r="F8" s="2" t="s">
        <v>23</v>
      </c>
      <c r="G8" s="3" t="s">
        <v>11</v>
      </c>
      <c r="H8" s="4" t="s">
        <v>12</v>
      </c>
      <c r="I8" s="2">
        <v>60</v>
      </c>
    </row>
    <row r="11" spans="1:15" ht="23.4" x14ac:dyDescent="0.45">
      <c r="A11" s="1" t="s">
        <v>0</v>
      </c>
      <c r="B11" s="1" t="s">
        <v>1</v>
      </c>
      <c r="F11" s="1" t="s">
        <v>7</v>
      </c>
      <c r="K11" s="1" t="s">
        <v>0</v>
      </c>
      <c r="L11" s="80" t="s">
        <v>7</v>
      </c>
    </row>
    <row r="12" spans="1:15" ht="25.8" x14ac:dyDescent="0.5">
      <c r="A12" s="78">
        <v>15</v>
      </c>
      <c r="B12" s="79" t="str">
        <f>VLOOKUP(A12,A2:C8,2,0)</f>
        <v>BONY</v>
      </c>
      <c r="F12" s="82">
        <f>VLOOKUP(B12,F2:I8,4,0)</f>
        <v>25500</v>
      </c>
      <c r="K12">
        <v>17</v>
      </c>
      <c r="L12">
        <f>VLOOKUP(VLOOKUP(K12,A2:C8,2,0),F2:I8,4,0)</f>
        <v>60</v>
      </c>
    </row>
    <row r="15" spans="1:15" ht="23.4" x14ac:dyDescent="0.45">
      <c r="A15" s="80" t="s">
        <v>0</v>
      </c>
      <c r="B15" s="80" t="s">
        <v>7</v>
      </c>
    </row>
    <row r="16" spans="1:15" ht="25.8" x14ac:dyDescent="0.5">
      <c r="A16" s="81">
        <v>14</v>
      </c>
      <c r="B16" s="98" t="str">
        <f>VLOOKUP(VLOOKUP(A16,A2:C8,2,0),F2:I8,3,0)</f>
        <v>AM</v>
      </c>
      <c r="H16" s="1" t="s">
        <v>0</v>
      </c>
      <c r="I16" s="1" t="s">
        <v>5</v>
      </c>
    </row>
    <row r="17" spans="8:9" x14ac:dyDescent="0.3">
      <c r="H17">
        <v>14</v>
      </c>
      <c r="I17" t="str">
        <f>VLOOKUP(VLOOKUP(H17,A2:C8,2,0),F2:I8,2,0)</f>
        <v>HR&amp;A</v>
      </c>
    </row>
  </sheetData>
  <dataValidations count="1">
    <dataValidation type="list" allowBlank="1" showInputMessage="1" showErrorMessage="1" sqref="A12 A16" xr:uid="{00000000-0002-0000-0B00-000000000000}">
      <formula1>$A$2:$A$8</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1"/>
  <sheetViews>
    <sheetView workbookViewId="0">
      <selection activeCell="J3" sqref="J3"/>
    </sheetView>
  </sheetViews>
  <sheetFormatPr defaultRowHeight="14.4" x14ac:dyDescent="0.3"/>
  <cols>
    <col min="1" max="1" width="24.33203125" bestFit="1" customWidth="1"/>
    <col min="2" max="2" width="11" bestFit="1" customWidth="1"/>
    <col min="3" max="3" width="10" bestFit="1" customWidth="1"/>
    <col min="4" max="4" width="14.109375" bestFit="1" customWidth="1"/>
  </cols>
  <sheetData>
    <row r="1" spans="1:15" ht="25.8" x14ac:dyDescent="0.5">
      <c r="A1" s="60" t="s">
        <v>103</v>
      </c>
      <c r="B1" s="46">
        <v>100</v>
      </c>
      <c r="C1" s="46">
        <v>200</v>
      </c>
      <c r="D1" s="46">
        <v>300</v>
      </c>
      <c r="G1" s="2" t="s">
        <v>104</v>
      </c>
      <c r="H1" s="2" t="s">
        <v>105</v>
      </c>
      <c r="I1" s="2" t="s">
        <v>106</v>
      </c>
      <c r="J1" s="2" t="s">
        <v>107</v>
      </c>
    </row>
    <row r="2" spans="1:15" ht="25.8" x14ac:dyDescent="0.5">
      <c r="A2" s="60" t="s">
        <v>108</v>
      </c>
      <c r="B2" s="46" t="s">
        <v>109</v>
      </c>
      <c r="C2" s="46" t="s">
        <v>110</v>
      </c>
      <c r="D2" s="46" t="s">
        <v>111</v>
      </c>
      <c r="G2" s="38">
        <v>100</v>
      </c>
      <c r="H2" s="2" t="str">
        <f>HLOOKUP(G2,A1:D4,2,FALSE)</f>
        <v>AMBAR</v>
      </c>
      <c r="I2" s="2">
        <f>HLOOKUP(G2,A1:D4,3,FALSE)</f>
        <v>10000</v>
      </c>
      <c r="J2" s="2" t="str">
        <f>HLOOKUP(G2,A1:D4,4,FALSE)</f>
        <v>C</v>
      </c>
    </row>
    <row r="3" spans="1:15" ht="25.8" x14ac:dyDescent="0.5">
      <c r="A3" s="60" t="s">
        <v>112</v>
      </c>
      <c r="B3" s="46">
        <v>10000</v>
      </c>
      <c r="C3" s="46">
        <v>20000</v>
      </c>
      <c r="D3" s="46">
        <v>30000</v>
      </c>
      <c r="G3" s="92">
        <v>200</v>
      </c>
      <c r="H3" s="57" t="str">
        <f>HLOOKUP(G3,A1:D4,2,0)</f>
        <v>AKBAR</v>
      </c>
      <c r="I3" s="57">
        <f>HLOOKUP(G3,A1:D4,3,0)</f>
        <v>20000</v>
      </c>
      <c r="J3" s="57" t="str">
        <f>HLOOKUP(G3,A1:D4,4,0)</f>
        <v>P</v>
      </c>
    </row>
    <row r="4" spans="1:15" ht="25.8" x14ac:dyDescent="0.5">
      <c r="A4" s="60" t="s">
        <v>113</v>
      </c>
      <c r="B4" s="46" t="s">
        <v>99</v>
      </c>
      <c r="C4" s="46" t="s">
        <v>114</v>
      </c>
      <c r="D4" s="46" t="s">
        <v>99</v>
      </c>
    </row>
    <row r="7" spans="1:15" ht="15" thickBot="1" x14ac:dyDescent="0.35">
      <c r="A7" s="58" t="s">
        <v>115</v>
      </c>
    </row>
    <row r="8" spans="1:15" x14ac:dyDescent="0.3">
      <c r="A8" s="150" t="s">
        <v>116</v>
      </c>
      <c r="B8" s="151"/>
      <c r="C8" s="151"/>
      <c r="D8" s="151"/>
      <c r="E8" s="151"/>
      <c r="F8" s="151"/>
      <c r="G8" s="151"/>
      <c r="H8" s="151"/>
      <c r="I8" s="151"/>
      <c r="J8" s="151"/>
      <c r="K8" s="151"/>
      <c r="L8" s="151"/>
      <c r="M8" s="151"/>
      <c r="N8" s="151"/>
      <c r="O8" s="152"/>
    </row>
    <row r="9" spans="1:15" x14ac:dyDescent="0.3">
      <c r="A9" s="153"/>
      <c r="B9" s="154"/>
      <c r="C9" s="154"/>
      <c r="D9" s="154"/>
      <c r="E9" s="154"/>
      <c r="F9" s="154"/>
      <c r="G9" s="154"/>
      <c r="H9" s="154"/>
      <c r="I9" s="154"/>
      <c r="J9" s="154"/>
      <c r="K9" s="154"/>
      <c r="L9" s="154"/>
      <c r="M9" s="154"/>
      <c r="N9" s="154"/>
      <c r="O9" s="155"/>
    </row>
    <row r="10" spans="1:15" x14ac:dyDescent="0.3">
      <c r="A10" s="153"/>
      <c r="B10" s="154"/>
      <c r="C10" s="154"/>
      <c r="D10" s="154"/>
      <c r="E10" s="154"/>
      <c r="F10" s="154"/>
      <c r="G10" s="154"/>
      <c r="H10" s="154"/>
      <c r="I10" s="154"/>
      <c r="J10" s="154"/>
      <c r="K10" s="154"/>
      <c r="L10" s="154"/>
      <c r="M10" s="154"/>
      <c r="N10" s="154"/>
      <c r="O10" s="155"/>
    </row>
    <row r="11" spans="1:15" x14ac:dyDescent="0.3">
      <c r="A11" s="153"/>
      <c r="B11" s="154"/>
      <c r="C11" s="154"/>
      <c r="D11" s="154"/>
      <c r="E11" s="154"/>
      <c r="F11" s="154"/>
      <c r="G11" s="154"/>
      <c r="H11" s="154"/>
      <c r="I11" s="154"/>
      <c r="J11" s="154"/>
      <c r="K11" s="154"/>
      <c r="L11" s="154"/>
      <c r="M11" s="154"/>
      <c r="N11" s="154"/>
      <c r="O11" s="155"/>
    </row>
    <row r="12" spans="1:15" x14ac:dyDescent="0.3">
      <c r="A12" s="153"/>
      <c r="B12" s="154"/>
      <c r="C12" s="154"/>
      <c r="D12" s="154"/>
      <c r="E12" s="154"/>
      <c r="F12" s="154"/>
      <c r="G12" s="154"/>
      <c r="H12" s="154"/>
      <c r="I12" s="154"/>
      <c r="J12" s="154"/>
      <c r="K12" s="154"/>
      <c r="L12" s="154"/>
      <c r="M12" s="154"/>
      <c r="N12" s="154"/>
      <c r="O12" s="155"/>
    </row>
    <row r="13" spans="1:15" x14ac:dyDescent="0.3">
      <c r="A13" s="153"/>
      <c r="B13" s="154"/>
      <c r="C13" s="154"/>
      <c r="D13" s="154"/>
      <c r="E13" s="154"/>
      <c r="F13" s="154"/>
      <c r="G13" s="154"/>
      <c r="H13" s="154"/>
      <c r="I13" s="154"/>
      <c r="J13" s="154"/>
      <c r="K13" s="154"/>
      <c r="L13" s="154"/>
      <c r="M13" s="154"/>
      <c r="N13" s="154"/>
      <c r="O13" s="155"/>
    </row>
    <row r="14" spans="1:15" x14ac:dyDescent="0.3">
      <c r="A14" s="153"/>
      <c r="B14" s="154"/>
      <c r="C14" s="154"/>
      <c r="D14" s="154"/>
      <c r="E14" s="154"/>
      <c r="F14" s="154"/>
      <c r="G14" s="154"/>
      <c r="H14" s="154"/>
      <c r="I14" s="154"/>
      <c r="J14" s="154"/>
      <c r="K14" s="154"/>
      <c r="L14" s="154"/>
      <c r="M14" s="154"/>
      <c r="N14" s="154"/>
      <c r="O14" s="155"/>
    </row>
    <row r="15" spans="1:15" x14ac:dyDescent="0.3">
      <c r="A15" s="153"/>
      <c r="B15" s="154"/>
      <c r="C15" s="154"/>
      <c r="D15" s="154"/>
      <c r="E15" s="154"/>
      <c r="F15" s="154"/>
      <c r="G15" s="154"/>
      <c r="H15" s="154"/>
      <c r="I15" s="154"/>
      <c r="J15" s="154"/>
      <c r="K15" s="154"/>
      <c r="L15" s="154"/>
      <c r="M15" s="154"/>
      <c r="N15" s="154"/>
      <c r="O15" s="155"/>
    </row>
    <row r="16" spans="1:15" x14ac:dyDescent="0.3">
      <c r="A16" s="153"/>
      <c r="B16" s="154"/>
      <c r="C16" s="154"/>
      <c r="D16" s="154"/>
      <c r="E16" s="154"/>
      <c r="F16" s="154"/>
      <c r="G16" s="154"/>
      <c r="H16" s="154"/>
      <c r="I16" s="154"/>
      <c r="J16" s="154"/>
      <c r="K16" s="154"/>
      <c r="L16" s="154"/>
      <c r="M16" s="154"/>
      <c r="N16" s="154"/>
      <c r="O16" s="155"/>
    </row>
    <row r="17" spans="1:15" x14ac:dyDescent="0.3">
      <c r="A17" s="153"/>
      <c r="B17" s="154"/>
      <c r="C17" s="154"/>
      <c r="D17" s="154"/>
      <c r="E17" s="154"/>
      <c r="F17" s="154"/>
      <c r="G17" s="154"/>
      <c r="H17" s="154"/>
      <c r="I17" s="154"/>
      <c r="J17" s="154"/>
      <c r="K17" s="154"/>
      <c r="L17" s="154"/>
      <c r="M17" s="154"/>
      <c r="N17" s="154"/>
      <c r="O17" s="155"/>
    </row>
    <row r="18" spans="1:15" x14ac:dyDescent="0.3">
      <c r="A18" s="153"/>
      <c r="B18" s="154"/>
      <c r="C18" s="154"/>
      <c r="D18" s="154"/>
      <c r="E18" s="154"/>
      <c r="F18" s="154"/>
      <c r="G18" s="154"/>
      <c r="H18" s="154"/>
      <c r="I18" s="154"/>
      <c r="J18" s="154"/>
      <c r="K18" s="154"/>
      <c r="L18" s="154"/>
      <c r="M18" s="154"/>
      <c r="N18" s="154"/>
      <c r="O18" s="155"/>
    </row>
    <row r="19" spans="1:15" x14ac:dyDescent="0.3">
      <c r="A19" s="153"/>
      <c r="B19" s="154"/>
      <c r="C19" s="154"/>
      <c r="D19" s="154"/>
      <c r="E19" s="154"/>
      <c r="F19" s="154"/>
      <c r="G19" s="154"/>
      <c r="H19" s="154"/>
      <c r="I19" s="154"/>
      <c r="J19" s="154"/>
      <c r="K19" s="154"/>
      <c r="L19" s="154"/>
      <c r="M19" s="154"/>
      <c r="N19" s="154"/>
      <c r="O19" s="155"/>
    </row>
    <row r="20" spans="1:15" x14ac:dyDescent="0.3">
      <c r="A20" s="153"/>
      <c r="B20" s="154"/>
      <c r="C20" s="154"/>
      <c r="D20" s="154"/>
      <c r="E20" s="154"/>
      <c r="F20" s="154"/>
      <c r="G20" s="154"/>
      <c r="H20" s="154"/>
      <c r="I20" s="154"/>
      <c r="J20" s="154"/>
      <c r="K20" s="154"/>
      <c r="L20" s="154"/>
      <c r="M20" s="154"/>
      <c r="N20" s="154"/>
      <c r="O20" s="155"/>
    </row>
    <row r="21" spans="1:15" ht="15" thickBot="1" x14ac:dyDescent="0.35">
      <c r="A21" s="156"/>
      <c r="B21" s="157"/>
      <c r="C21" s="157"/>
      <c r="D21" s="157"/>
      <c r="E21" s="157"/>
      <c r="F21" s="157"/>
      <c r="G21" s="157"/>
      <c r="H21" s="157"/>
      <c r="I21" s="157"/>
      <c r="J21" s="157"/>
      <c r="K21" s="157"/>
      <c r="L21" s="157"/>
      <c r="M21" s="157"/>
      <c r="N21" s="157"/>
      <c r="O21" s="158"/>
    </row>
  </sheetData>
  <mergeCells count="1">
    <mergeCell ref="A8:O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2"/>
  <sheetViews>
    <sheetView topLeftCell="A7" workbookViewId="0">
      <selection activeCell="B21" sqref="B21"/>
    </sheetView>
  </sheetViews>
  <sheetFormatPr defaultRowHeight="14.4" x14ac:dyDescent="0.3"/>
  <cols>
    <col min="1" max="1" width="11.88671875" bestFit="1" customWidth="1"/>
    <col min="2" max="2" width="17.44140625" customWidth="1"/>
    <col min="3" max="3" width="14.33203125" customWidth="1"/>
    <col min="4" max="4" width="11.88671875" bestFit="1" customWidth="1"/>
    <col min="8" max="8" width="15.88671875" customWidth="1"/>
  </cols>
  <sheetData>
    <row r="1" spans="1:18" ht="15" thickBot="1" x14ac:dyDescent="0.35">
      <c r="A1" s="159" t="s">
        <v>117</v>
      </c>
      <c r="B1" s="159"/>
      <c r="C1" s="159"/>
      <c r="D1" s="159"/>
      <c r="E1" s="159"/>
    </row>
    <row r="2" spans="1:18" ht="15" customHeight="1" x14ac:dyDescent="0.3">
      <c r="A2" s="159"/>
      <c r="B2" s="159"/>
      <c r="C2" s="159"/>
      <c r="D2" s="159"/>
      <c r="E2" s="159"/>
      <c r="H2" s="160" t="s">
        <v>118</v>
      </c>
      <c r="I2" s="161"/>
      <c r="J2" s="161"/>
      <c r="K2" s="161"/>
      <c r="L2" s="161"/>
      <c r="M2" s="161"/>
      <c r="N2" s="161"/>
      <c r="O2" s="161"/>
      <c r="P2" s="161"/>
      <c r="Q2" s="161"/>
      <c r="R2" s="162"/>
    </row>
    <row r="3" spans="1:18" x14ac:dyDescent="0.3">
      <c r="H3" s="163"/>
      <c r="I3" s="164"/>
      <c r="J3" s="164"/>
      <c r="K3" s="164"/>
      <c r="L3" s="164"/>
      <c r="M3" s="164"/>
      <c r="N3" s="164"/>
      <c r="O3" s="164"/>
      <c r="P3" s="164"/>
      <c r="Q3" s="164"/>
      <c r="R3" s="165"/>
    </row>
    <row r="4" spans="1:18" x14ac:dyDescent="0.3">
      <c r="H4" s="163"/>
      <c r="I4" s="164"/>
      <c r="J4" s="164"/>
      <c r="K4" s="164"/>
      <c r="L4" s="164"/>
      <c r="M4" s="164"/>
      <c r="N4" s="164"/>
      <c r="O4" s="164"/>
      <c r="P4" s="164"/>
      <c r="Q4" s="164"/>
      <c r="R4" s="165"/>
    </row>
    <row r="5" spans="1:18" x14ac:dyDescent="0.3">
      <c r="H5" s="163"/>
      <c r="I5" s="164"/>
      <c r="J5" s="164"/>
      <c r="K5" s="164"/>
      <c r="L5" s="164"/>
      <c r="M5" s="164"/>
      <c r="N5" s="164"/>
      <c r="O5" s="164"/>
      <c r="P5" s="164"/>
      <c r="Q5" s="164"/>
      <c r="R5" s="165"/>
    </row>
    <row r="6" spans="1:18" ht="21" x14ac:dyDescent="0.4">
      <c r="A6" s="64">
        <v>1</v>
      </c>
      <c r="B6" s="64">
        <v>2</v>
      </c>
      <c r="C6" s="64">
        <v>3</v>
      </c>
      <c r="D6" s="64">
        <v>4</v>
      </c>
      <c r="E6" s="64">
        <v>5</v>
      </c>
      <c r="H6" s="163"/>
      <c r="I6" s="164"/>
      <c r="J6" s="164"/>
      <c r="K6" s="164"/>
      <c r="L6" s="164"/>
      <c r="M6" s="164"/>
      <c r="N6" s="164"/>
      <c r="O6" s="164"/>
      <c r="P6" s="164"/>
      <c r="Q6" s="164"/>
      <c r="R6" s="165"/>
    </row>
    <row r="7" spans="1:18" ht="18" x14ac:dyDescent="0.35">
      <c r="A7" s="37" t="s">
        <v>119</v>
      </c>
      <c r="B7" s="37" t="s">
        <v>120</v>
      </c>
      <c r="C7" s="37" t="s">
        <v>121</v>
      </c>
      <c r="D7" s="37" t="s">
        <v>122</v>
      </c>
      <c r="E7" s="37" t="s">
        <v>91</v>
      </c>
      <c r="F7" s="61">
        <v>1</v>
      </c>
      <c r="H7" s="163"/>
      <c r="I7" s="164"/>
      <c r="J7" s="164"/>
      <c r="K7" s="164"/>
      <c r="L7" s="164"/>
      <c r="M7" s="164"/>
      <c r="N7" s="164"/>
      <c r="O7" s="164"/>
      <c r="P7" s="164"/>
      <c r="Q7" s="164"/>
      <c r="R7" s="165"/>
    </row>
    <row r="8" spans="1:18" ht="18" x14ac:dyDescent="0.35">
      <c r="A8" s="2" t="s">
        <v>123</v>
      </c>
      <c r="B8" s="2" t="s">
        <v>124</v>
      </c>
      <c r="C8" s="2">
        <v>10</v>
      </c>
      <c r="D8" s="2">
        <v>200</v>
      </c>
      <c r="E8" s="2">
        <f>C8*D8</f>
        <v>2000</v>
      </c>
      <c r="F8" s="61">
        <v>2</v>
      </c>
      <c r="H8" s="163"/>
      <c r="I8" s="164"/>
      <c r="J8" s="164"/>
      <c r="K8" s="164"/>
      <c r="L8" s="164"/>
      <c r="M8" s="164"/>
      <c r="N8" s="164"/>
      <c r="O8" s="164"/>
      <c r="P8" s="164"/>
      <c r="Q8" s="164"/>
      <c r="R8" s="165"/>
    </row>
    <row r="9" spans="1:18" ht="18" x14ac:dyDescent="0.35">
      <c r="A9" s="38" t="s">
        <v>125</v>
      </c>
      <c r="B9" s="38" t="s">
        <v>126</v>
      </c>
      <c r="C9" s="38">
        <v>20</v>
      </c>
      <c r="D9" s="49">
        <v>400</v>
      </c>
      <c r="E9" s="38">
        <f t="shared" ref="E9:E13" si="0">C9*D9</f>
        <v>8000</v>
      </c>
      <c r="F9" s="61">
        <v>3</v>
      </c>
      <c r="H9" s="163"/>
      <c r="I9" s="164"/>
      <c r="J9" s="164"/>
      <c r="K9" s="164"/>
      <c r="L9" s="164"/>
      <c r="M9" s="164"/>
      <c r="N9" s="164"/>
      <c r="O9" s="164"/>
      <c r="P9" s="164"/>
      <c r="Q9" s="164"/>
      <c r="R9" s="165"/>
    </row>
    <row r="10" spans="1:18" ht="18" x14ac:dyDescent="0.35">
      <c r="A10" s="2" t="s">
        <v>127</v>
      </c>
      <c r="B10" s="2" t="s">
        <v>128</v>
      </c>
      <c r="C10" s="2">
        <v>5</v>
      </c>
      <c r="D10" s="2">
        <v>2000</v>
      </c>
      <c r="E10" s="2">
        <f t="shared" si="0"/>
        <v>10000</v>
      </c>
      <c r="F10" s="61">
        <v>4</v>
      </c>
      <c r="H10" s="163"/>
      <c r="I10" s="164"/>
      <c r="J10" s="164"/>
      <c r="K10" s="164"/>
      <c r="L10" s="164"/>
      <c r="M10" s="164"/>
      <c r="N10" s="164"/>
      <c r="O10" s="164"/>
      <c r="P10" s="164"/>
      <c r="Q10" s="164"/>
      <c r="R10" s="165"/>
    </row>
    <row r="11" spans="1:18" ht="18" x14ac:dyDescent="0.35">
      <c r="A11" s="2" t="s">
        <v>129</v>
      </c>
      <c r="B11" s="2" t="s">
        <v>130</v>
      </c>
      <c r="C11" s="2">
        <v>7</v>
      </c>
      <c r="D11" s="2">
        <v>4000</v>
      </c>
      <c r="E11" s="2">
        <f t="shared" si="0"/>
        <v>28000</v>
      </c>
      <c r="F11" s="61">
        <v>5</v>
      </c>
      <c r="H11" s="163"/>
      <c r="I11" s="164"/>
      <c r="J11" s="164"/>
      <c r="K11" s="164"/>
      <c r="L11" s="164"/>
      <c r="M11" s="164"/>
      <c r="N11" s="164"/>
      <c r="O11" s="164"/>
      <c r="P11" s="164"/>
      <c r="Q11" s="164"/>
      <c r="R11" s="165"/>
    </row>
    <row r="12" spans="1:18" ht="18" x14ac:dyDescent="0.35">
      <c r="A12" s="59" t="s">
        <v>131</v>
      </c>
      <c r="B12" s="38" t="s">
        <v>132</v>
      </c>
      <c r="C12" s="59">
        <v>15</v>
      </c>
      <c r="D12" s="59">
        <v>800</v>
      </c>
      <c r="E12" s="59">
        <f t="shared" si="0"/>
        <v>12000</v>
      </c>
      <c r="F12" s="61">
        <v>6</v>
      </c>
      <c r="H12" s="163"/>
      <c r="I12" s="164"/>
      <c r="J12" s="164"/>
      <c r="K12" s="164"/>
      <c r="L12" s="164"/>
      <c r="M12" s="164"/>
      <c r="N12" s="164"/>
      <c r="O12" s="164"/>
      <c r="P12" s="164"/>
      <c r="Q12" s="164"/>
      <c r="R12" s="165"/>
    </row>
    <row r="13" spans="1:18" ht="18" x14ac:dyDescent="0.35">
      <c r="A13" s="2" t="s">
        <v>133</v>
      </c>
      <c r="B13" s="2" t="s">
        <v>134</v>
      </c>
      <c r="C13" s="2">
        <v>25</v>
      </c>
      <c r="D13" s="2">
        <v>150</v>
      </c>
      <c r="E13" s="2">
        <f t="shared" si="0"/>
        <v>3750</v>
      </c>
      <c r="F13" s="61">
        <v>7</v>
      </c>
      <c r="H13" s="163"/>
      <c r="I13" s="164"/>
      <c r="J13" s="164"/>
      <c r="K13" s="164"/>
      <c r="L13" s="164"/>
      <c r="M13" s="164"/>
      <c r="N13" s="164"/>
      <c r="O13" s="164"/>
      <c r="P13" s="164"/>
      <c r="Q13" s="164"/>
      <c r="R13" s="165"/>
    </row>
    <row r="14" spans="1:18" x14ac:dyDescent="0.3">
      <c r="H14" s="163"/>
      <c r="I14" s="164"/>
      <c r="J14" s="164"/>
      <c r="K14" s="164"/>
      <c r="L14" s="164"/>
      <c r="M14" s="164"/>
      <c r="N14" s="164"/>
      <c r="O14" s="164"/>
      <c r="P14" s="164"/>
      <c r="Q14" s="164"/>
      <c r="R14" s="165"/>
    </row>
    <row r="15" spans="1:18" x14ac:dyDescent="0.3">
      <c r="B15" s="169" t="s">
        <v>135</v>
      </c>
      <c r="C15" s="169"/>
      <c r="D15" s="169"/>
      <c r="H15" s="163"/>
      <c r="I15" s="164"/>
      <c r="J15" s="164"/>
      <c r="K15" s="164"/>
      <c r="L15" s="164"/>
      <c r="M15" s="164"/>
      <c r="N15" s="164"/>
      <c r="O15" s="164"/>
      <c r="P15" s="164"/>
      <c r="Q15" s="164"/>
      <c r="R15" s="165"/>
    </row>
    <row r="16" spans="1:18" x14ac:dyDescent="0.3">
      <c r="B16" s="37" t="s">
        <v>120</v>
      </c>
      <c r="C16" s="37" t="s">
        <v>122</v>
      </c>
      <c r="D16" s="37" t="s">
        <v>119</v>
      </c>
      <c r="H16" s="163"/>
      <c r="I16" s="164"/>
      <c r="J16" s="164"/>
      <c r="K16" s="164"/>
      <c r="L16" s="164"/>
      <c r="M16" s="164"/>
      <c r="N16" s="164"/>
      <c r="O16" s="164"/>
      <c r="P16" s="164"/>
      <c r="Q16" s="164"/>
      <c r="R16" s="165"/>
    </row>
    <row r="17" spans="2:18" ht="33" customHeight="1" thickBot="1" x14ac:dyDescent="0.4">
      <c r="B17" s="40" t="str">
        <f>INDEX(range2,6,2)</f>
        <v>PEN DRIVE</v>
      </c>
      <c r="C17" s="40">
        <f>INDEX(A7:E13,3,4)</f>
        <v>400</v>
      </c>
      <c r="D17" s="40" t="str">
        <f>INDEX(A7:E13,3,1)</f>
        <v>P002</v>
      </c>
      <c r="H17" s="166"/>
      <c r="I17" s="167"/>
      <c r="J17" s="167"/>
      <c r="K17" s="167"/>
      <c r="L17" s="167"/>
      <c r="M17" s="167"/>
      <c r="N17" s="167"/>
      <c r="O17" s="167"/>
      <c r="P17" s="167"/>
      <c r="Q17" s="167"/>
      <c r="R17" s="168"/>
    </row>
    <row r="19" spans="2:18" x14ac:dyDescent="0.3">
      <c r="B19" s="169" t="s">
        <v>136</v>
      </c>
      <c r="C19" s="169"/>
      <c r="D19" s="169"/>
    </row>
    <row r="20" spans="2:18" x14ac:dyDescent="0.3">
      <c r="B20" s="37" t="s">
        <v>120</v>
      </c>
      <c r="C20" s="37" t="s">
        <v>122</v>
      </c>
      <c r="D20" s="37" t="s">
        <v>119</v>
      </c>
      <c r="H20" t="str">
        <f>INDEX(range2,6,2)</f>
        <v>PEN DRIVE</v>
      </c>
    </row>
    <row r="21" spans="2:18" ht="18" x14ac:dyDescent="0.35">
      <c r="B21" s="40" t="s">
        <v>130</v>
      </c>
      <c r="C21" s="40" t="e">
        <f>VLOOKUP(B21,A7:E13,3,0)</f>
        <v>#N/A</v>
      </c>
      <c r="D21" s="40" t="e">
        <f>VLOOKUP(B21,A7:E13,1,0)</f>
        <v>#N/A</v>
      </c>
    </row>
    <row r="22" spans="2:18" ht="18" x14ac:dyDescent="0.35">
      <c r="B22" s="40"/>
      <c r="C22" s="40">
        <f>VLOOKUP(B21,B7:E13,3,0)</f>
        <v>4000</v>
      </c>
      <c r="D22" s="40" t="e">
        <f>VLOOKUP(B21,A7:E13,1,0)</f>
        <v>#N/A</v>
      </c>
    </row>
  </sheetData>
  <mergeCells count="4">
    <mergeCell ref="A1:E2"/>
    <mergeCell ref="H2:R17"/>
    <mergeCell ref="B15:D15"/>
    <mergeCell ref="B19:D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5"/>
  <sheetViews>
    <sheetView workbookViewId="0">
      <selection activeCell="C18" sqref="C18"/>
    </sheetView>
  </sheetViews>
  <sheetFormatPr defaultRowHeight="14.4" x14ac:dyDescent="0.3"/>
  <cols>
    <col min="1" max="1" width="11.88671875" bestFit="1" customWidth="1"/>
    <col min="2" max="2" width="17.44140625" customWidth="1"/>
    <col min="3" max="3" width="10.6640625" bestFit="1" customWidth="1"/>
    <col min="4" max="4" width="18" customWidth="1"/>
    <col min="7" max="7" width="11.88671875" bestFit="1" customWidth="1"/>
  </cols>
  <sheetData>
    <row r="1" spans="1:18" ht="15" thickBot="1" x14ac:dyDescent="0.35">
      <c r="A1" s="159" t="s">
        <v>137</v>
      </c>
      <c r="B1" s="159"/>
      <c r="C1" s="159"/>
      <c r="D1" s="159"/>
      <c r="E1" s="159"/>
    </row>
    <row r="2" spans="1:18" ht="15" customHeight="1" x14ac:dyDescent="0.3">
      <c r="A2" s="159"/>
      <c r="B2" s="159"/>
      <c r="C2" s="159"/>
      <c r="D2" s="159"/>
      <c r="E2" s="159"/>
      <c r="H2" s="160" t="s">
        <v>138</v>
      </c>
      <c r="I2" s="161"/>
      <c r="J2" s="161"/>
      <c r="K2" s="161"/>
      <c r="L2" s="161"/>
      <c r="M2" s="161"/>
      <c r="N2" s="161"/>
      <c r="O2" s="161"/>
      <c r="P2" s="161"/>
      <c r="Q2" s="161"/>
      <c r="R2" s="162"/>
    </row>
    <row r="3" spans="1:18" x14ac:dyDescent="0.3">
      <c r="H3" s="163"/>
      <c r="I3" s="164"/>
      <c r="J3" s="164"/>
      <c r="K3" s="164"/>
      <c r="L3" s="164"/>
      <c r="M3" s="164"/>
      <c r="N3" s="164"/>
      <c r="O3" s="164"/>
      <c r="P3" s="164"/>
      <c r="Q3" s="164"/>
      <c r="R3" s="165"/>
    </row>
    <row r="4" spans="1:18" x14ac:dyDescent="0.3">
      <c r="H4" s="163"/>
      <c r="I4" s="164"/>
      <c r="J4" s="164"/>
      <c r="K4" s="164"/>
      <c r="L4" s="164"/>
      <c r="M4" s="164"/>
      <c r="N4" s="164"/>
      <c r="O4" s="164"/>
      <c r="P4" s="164"/>
      <c r="Q4" s="164"/>
      <c r="R4" s="165"/>
    </row>
    <row r="5" spans="1:18" x14ac:dyDescent="0.3">
      <c r="H5" s="163"/>
      <c r="I5" s="164"/>
      <c r="J5" s="164"/>
      <c r="K5" s="164"/>
      <c r="L5" s="164"/>
      <c r="M5" s="164"/>
      <c r="N5" s="164"/>
      <c r="O5" s="164"/>
      <c r="P5" s="164"/>
      <c r="Q5" s="164"/>
      <c r="R5" s="165"/>
    </row>
    <row r="6" spans="1:18" x14ac:dyDescent="0.3">
      <c r="H6" s="163"/>
      <c r="I6" s="164"/>
      <c r="J6" s="164"/>
      <c r="K6" s="164"/>
      <c r="L6" s="164"/>
      <c r="M6" s="164"/>
      <c r="N6" s="164"/>
      <c r="O6" s="164"/>
      <c r="P6" s="164"/>
      <c r="Q6" s="164"/>
      <c r="R6" s="165"/>
    </row>
    <row r="7" spans="1:18" x14ac:dyDescent="0.3">
      <c r="A7" s="59" t="s">
        <v>119</v>
      </c>
      <c r="B7" s="59" t="s">
        <v>120</v>
      </c>
      <c r="C7" s="65" t="s">
        <v>121</v>
      </c>
      <c r="D7" s="59" t="s">
        <v>122</v>
      </c>
      <c r="E7" s="59" t="s">
        <v>91</v>
      </c>
      <c r="H7" s="163"/>
      <c r="I7" s="164"/>
      <c r="J7" s="164"/>
      <c r="K7" s="164"/>
      <c r="L7" s="164"/>
      <c r="M7" s="164"/>
      <c r="N7" s="164"/>
      <c r="O7" s="164"/>
      <c r="P7" s="164"/>
      <c r="Q7" s="164"/>
      <c r="R7" s="165"/>
    </row>
    <row r="8" spans="1:18" x14ac:dyDescent="0.3">
      <c r="A8" s="62" t="s">
        <v>123</v>
      </c>
      <c r="B8" s="2" t="s">
        <v>124</v>
      </c>
      <c r="C8" s="2">
        <v>10</v>
      </c>
      <c r="D8" s="2">
        <v>200</v>
      </c>
      <c r="E8" s="2">
        <f>C8*D8</f>
        <v>2000</v>
      </c>
      <c r="H8" s="163"/>
      <c r="I8" s="164"/>
      <c r="J8" s="164"/>
      <c r="K8" s="164"/>
      <c r="L8" s="164"/>
      <c r="M8" s="164"/>
      <c r="N8" s="164"/>
      <c r="O8" s="164"/>
      <c r="P8" s="164"/>
      <c r="Q8" s="164"/>
      <c r="R8" s="165"/>
    </row>
    <row r="9" spans="1:18" x14ac:dyDescent="0.3">
      <c r="A9" s="62" t="s">
        <v>125</v>
      </c>
      <c r="B9" s="2" t="s">
        <v>126</v>
      </c>
      <c r="C9" s="2">
        <v>20</v>
      </c>
      <c r="D9" s="2">
        <v>400</v>
      </c>
      <c r="E9" s="2">
        <f t="shared" ref="E9:E13" si="0">C9*D9</f>
        <v>8000</v>
      </c>
      <c r="H9" s="163"/>
      <c r="I9" s="164"/>
      <c r="J9" s="164"/>
      <c r="K9" s="164"/>
      <c r="L9" s="164"/>
      <c r="M9" s="164"/>
      <c r="N9" s="164"/>
      <c r="O9" s="164"/>
      <c r="P9" s="164"/>
      <c r="Q9" s="164"/>
      <c r="R9" s="165"/>
    </row>
    <row r="10" spans="1:18" x14ac:dyDescent="0.3">
      <c r="A10" s="62" t="s">
        <v>127</v>
      </c>
      <c r="B10" s="2" t="s">
        <v>128</v>
      </c>
      <c r="C10" s="2">
        <v>5</v>
      </c>
      <c r="D10" s="2">
        <v>2000</v>
      </c>
      <c r="E10" s="2">
        <f t="shared" si="0"/>
        <v>10000</v>
      </c>
      <c r="H10" s="163"/>
      <c r="I10" s="164"/>
      <c r="J10" s="164"/>
      <c r="K10" s="164"/>
      <c r="L10" s="164"/>
      <c r="M10" s="164"/>
      <c r="N10" s="164"/>
      <c r="O10" s="164"/>
      <c r="P10" s="164"/>
      <c r="Q10" s="164"/>
      <c r="R10" s="165"/>
    </row>
    <row r="11" spans="1:18" x14ac:dyDescent="0.3">
      <c r="A11" s="62" t="s">
        <v>129</v>
      </c>
      <c r="B11" s="2" t="s">
        <v>130</v>
      </c>
      <c r="C11" s="2">
        <v>7</v>
      </c>
      <c r="D11" s="2">
        <v>4000</v>
      </c>
      <c r="E11" s="2">
        <f t="shared" si="0"/>
        <v>28000</v>
      </c>
      <c r="H11" s="163"/>
      <c r="I11" s="164"/>
      <c r="J11" s="164"/>
      <c r="K11" s="164"/>
      <c r="L11" s="164"/>
      <c r="M11" s="164"/>
      <c r="N11" s="164"/>
      <c r="O11" s="164"/>
      <c r="P11" s="164"/>
      <c r="Q11" s="164"/>
      <c r="R11" s="165"/>
    </row>
    <row r="12" spans="1:18" x14ac:dyDescent="0.3">
      <c r="A12" s="62" t="s">
        <v>131</v>
      </c>
      <c r="B12" s="2" t="s">
        <v>132</v>
      </c>
      <c r="C12" s="2">
        <v>15</v>
      </c>
      <c r="D12" s="2">
        <v>800</v>
      </c>
      <c r="E12" s="2">
        <f t="shared" si="0"/>
        <v>12000</v>
      </c>
      <c r="H12" s="163"/>
      <c r="I12" s="164"/>
      <c r="J12" s="164"/>
      <c r="K12" s="164"/>
      <c r="L12" s="164"/>
      <c r="M12" s="164"/>
      <c r="N12" s="164"/>
      <c r="O12" s="164"/>
      <c r="P12" s="164"/>
      <c r="Q12" s="164"/>
      <c r="R12" s="165"/>
    </row>
    <row r="13" spans="1:18" x14ac:dyDescent="0.3">
      <c r="A13" s="63" t="s">
        <v>133</v>
      </c>
      <c r="B13" s="2" t="s">
        <v>134</v>
      </c>
      <c r="C13" s="2">
        <v>25</v>
      </c>
      <c r="D13" s="2">
        <v>150</v>
      </c>
      <c r="E13" s="2">
        <f t="shared" si="0"/>
        <v>3750</v>
      </c>
      <c r="H13" s="163"/>
      <c r="I13" s="164"/>
      <c r="J13" s="164"/>
      <c r="K13" s="164"/>
      <c r="L13" s="164"/>
      <c r="M13" s="164"/>
      <c r="N13" s="164"/>
      <c r="O13" s="164"/>
      <c r="P13" s="164"/>
      <c r="Q13" s="164"/>
      <c r="R13" s="165"/>
    </row>
    <row r="14" spans="1:18" x14ac:dyDescent="0.3">
      <c r="H14" s="163"/>
      <c r="I14" s="164"/>
      <c r="J14" s="164"/>
      <c r="K14" s="164"/>
      <c r="L14" s="164"/>
      <c r="M14" s="164"/>
      <c r="N14" s="164"/>
      <c r="O14" s="164"/>
      <c r="P14" s="164"/>
      <c r="Q14" s="164"/>
      <c r="R14" s="165"/>
    </row>
    <row r="15" spans="1:18" x14ac:dyDescent="0.3">
      <c r="B15" s="169" t="s">
        <v>139</v>
      </c>
      <c r="C15" s="169"/>
      <c r="D15" s="169"/>
      <c r="H15" s="163"/>
      <c r="I15" s="164"/>
      <c r="J15" s="164"/>
      <c r="K15" s="164"/>
      <c r="L15" s="164"/>
      <c r="M15" s="164"/>
      <c r="N15" s="164"/>
      <c r="O15" s="164"/>
      <c r="P15" s="164"/>
      <c r="Q15" s="164"/>
      <c r="R15" s="165"/>
    </row>
    <row r="16" spans="1:18" x14ac:dyDescent="0.3">
      <c r="B16" s="37" t="s">
        <v>120</v>
      </c>
      <c r="C16" s="37" t="s">
        <v>140</v>
      </c>
      <c r="D16" s="37"/>
      <c r="H16" s="163"/>
      <c r="I16" s="164"/>
      <c r="J16" s="164"/>
      <c r="K16" s="164"/>
      <c r="L16" s="164"/>
      <c r="M16" s="164"/>
      <c r="N16" s="164"/>
      <c r="O16" s="164"/>
      <c r="P16" s="164"/>
      <c r="Q16" s="164"/>
      <c r="R16" s="165"/>
    </row>
    <row r="17" spans="2:18" ht="33" customHeight="1" thickBot="1" x14ac:dyDescent="0.4">
      <c r="B17" s="40" t="s">
        <v>133</v>
      </c>
      <c r="C17" s="40">
        <f>MATCH(B17,A7:A13,0)</f>
        <v>7</v>
      </c>
      <c r="D17" s="40" t="s">
        <v>141</v>
      </c>
      <c r="H17" s="166"/>
      <c r="I17" s="167"/>
      <c r="J17" s="167"/>
      <c r="K17" s="167"/>
      <c r="L17" s="167"/>
      <c r="M17" s="167"/>
      <c r="N17" s="167"/>
      <c r="O17" s="167"/>
      <c r="P17" s="167"/>
      <c r="Q17" s="167"/>
      <c r="R17" s="168"/>
    </row>
    <row r="18" spans="2:18" ht="18" x14ac:dyDescent="0.35">
      <c r="B18" s="40" t="s">
        <v>121</v>
      </c>
      <c r="C18" s="40">
        <f>MATCH(B18,A7:E7,0)</f>
        <v>3</v>
      </c>
      <c r="D18" s="40" t="s">
        <v>142</v>
      </c>
    </row>
    <row r="20" spans="2:18" ht="18" x14ac:dyDescent="0.35">
      <c r="B20" t="s">
        <v>130</v>
      </c>
      <c r="C20">
        <f>MATCH(B20,B8:B13,0)</f>
        <v>4</v>
      </c>
      <c r="D20" s="40" t="s">
        <v>142</v>
      </c>
      <c r="G20" s="37" t="s">
        <v>119</v>
      </c>
      <c r="J20" t="str">
        <f>INDEX(A7:E13,MATCH(G20,A7:A13,0),MATCH(G21,A7:E7,0))</f>
        <v>PRODUCT ID</v>
      </c>
    </row>
    <row r="21" spans="2:18" ht="18" x14ac:dyDescent="0.35">
      <c r="B21" t="s">
        <v>91</v>
      </c>
      <c r="C21">
        <f>MATCH(B21,E7:E13,0)</f>
        <v>1</v>
      </c>
      <c r="D21" s="40" t="s">
        <v>141</v>
      </c>
      <c r="G21" s="37" t="s">
        <v>119</v>
      </c>
    </row>
    <row r="23" spans="2:18" x14ac:dyDescent="0.3">
      <c r="B23" s="37" t="s">
        <v>120</v>
      </c>
      <c r="C23" s="37" t="s">
        <v>140</v>
      </c>
      <c r="D23" s="37"/>
    </row>
    <row r="24" spans="2:18" ht="18" x14ac:dyDescent="0.35">
      <c r="B24" s="40" t="s">
        <v>125</v>
      </c>
      <c r="C24" s="40">
        <f>MATCH(B24,A7:A13,0)</f>
        <v>3</v>
      </c>
      <c r="D24" s="40" t="s">
        <v>141</v>
      </c>
    </row>
    <row r="25" spans="2:18" ht="18" x14ac:dyDescent="0.35">
      <c r="B25" s="40" t="s">
        <v>122</v>
      </c>
      <c r="C25" s="40">
        <f>MATCH(B25,A7:E7,0)</f>
        <v>4</v>
      </c>
      <c r="D25" s="40" t="s">
        <v>142</v>
      </c>
    </row>
  </sheetData>
  <mergeCells count="3">
    <mergeCell ref="A1:E2"/>
    <mergeCell ref="H2:R17"/>
    <mergeCell ref="B15:D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6"/>
  <sheetViews>
    <sheetView workbookViewId="0">
      <selection activeCell="H8" sqref="H8"/>
    </sheetView>
  </sheetViews>
  <sheetFormatPr defaultRowHeight="14.4" x14ac:dyDescent="0.3"/>
  <cols>
    <col min="2" max="2" width="14.5546875" bestFit="1" customWidth="1"/>
    <col min="3" max="3" width="15.109375" customWidth="1"/>
    <col min="4" max="4" width="10.5546875" bestFit="1" customWidth="1"/>
    <col min="5" max="5" width="21.33203125" customWidth="1"/>
  </cols>
  <sheetData>
    <row r="1" spans="1:7" x14ac:dyDescent="0.3">
      <c r="A1" s="159" t="s">
        <v>143</v>
      </c>
      <c r="B1" s="159"/>
      <c r="C1" s="159"/>
      <c r="D1" s="159"/>
      <c r="E1" s="159"/>
    </row>
    <row r="2" spans="1:7" x14ac:dyDescent="0.3">
      <c r="A2" s="159"/>
      <c r="B2" s="159"/>
      <c r="C2" s="159"/>
      <c r="D2" s="159"/>
      <c r="E2" s="159"/>
    </row>
    <row r="4" spans="1:7" ht="23.4" x14ac:dyDescent="0.45">
      <c r="B4" s="2" t="s">
        <v>119</v>
      </c>
      <c r="C4" s="83" t="s">
        <v>127</v>
      </c>
      <c r="D4" s="6"/>
      <c r="E4" s="50">
        <f>MATCH(C4,C10:C16,0)</f>
        <v>4</v>
      </c>
      <c r="F4" t="s">
        <v>133</v>
      </c>
      <c r="G4">
        <f>MATCH(F4,C10:C16,0)</f>
        <v>7</v>
      </c>
    </row>
    <row r="5" spans="1:7" ht="23.4" x14ac:dyDescent="0.45">
      <c r="B5" s="2" t="s">
        <v>177</v>
      </c>
      <c r="C5" s="83" t="s">
        <v>122</v>
      </c>
      <c r="D5" s="6"/>
      <c r="E5" s="87">
        <f>MATCH(C5,B10:D10,0)</f>
        <v>3</v>
      </c>
      <c r="F5" t="s">
        <v>122</v>
      </c>
      <c r="G5">
        <f>MATCH(F5,B10:D10,0)</f>
        <v>3</v>
      </c>
    </row>
    <row r="6" spans="1:7" ht="23.4" x14ac:dyDescent="0.45">
      <c r="E6" s="85"/>
      <c r="F6" t="str">
        <f>F5&amp;"="</f>
        <v>RATE=</v>
      </c>
      <c r="G6">
        <f>INDEX(B10:D16,G4,G5)</f>
        <v>150</v>
      </c>
    </row>
    <row r="7" spans="1:7" ht="25.8" x14ac:dyDescent="0.5">
      <c r="B7" t="str">
        <f>C5&amp;" is = "</f>
        <v xml:space="preserve">RATE is = </v>
      </c>
      <c r="C7" s="84">
        <f>INDEX(B10:D16,MATCH(C4,C10:C16,0),MATCH(C5,B10:D10,0))</f>
        <v>2000</v>
      </c>
      <c r="D7" s="6"/>
      <c r="E7" s="86">
        <f>INDEX(B10:D16,3,3)</f>
        <v>400</v>
      </c>
    </row>
    <row r="10" spans="1:7" x14ac:dyDescent="0.3">
      <c r="B10" s="37" t="s">
        <v>178</v>
      </c>
      <c r="C10" s="37" t="s">
        <v>119</v>
      </c>
      <c r="D10" s="37" t="s">
        <v>122</v>
      </c>
    </row>
    <row r="11" spans="1:7" x14ac:dyDescent="0.3">
      <c r="B11" s="2" t="s">
        <v>124</v>
      </c>
      <c r="C11" s="2" t="s">
        <v>123</v>
      </c>
      <c r="D11" s="2">
        <v>200</v>
      </c>
    </row>
    <row r="12" spans="1:7" x14ac:dyDescent="0.3">
      <c r="B12" s="2" t="s">
        <v>126</v>
      </c>
      <c r="C12" s="2" t="s">
        <v>125</v>
      </c>
      <c r="D12" s="2">
        <v>400</v>
      </c>
    </row>
    <row r="13" spans="1:7" x14ac:dyDescent="0.3">
      <c r="B13" s="2" t="s">
        <v>128</v>
      </c>
      <c r="C13" s="2" t="s">
        <v>127</v>
      </c>
      <c r="D13" s="2">
        <v>2000</v>
      </c>
    </row>
    <row r="14" spans="1:7" x14ac:dyDescent="0.3">
      <c r="B14" s="2" t="s">
        <v>130</v>
      </c>
      <c r="C14" s="2" t="s">
        <v>129</v>
      </c>
      <c r="D14" s="2">
        <v>4000</v>
      </c>
    </row>
    <row r="15" spans="1:7" x14ac:dyDescent="0.3">
      <c r="B15" s="2" t="s">
        <v>132</v>
      </c>
      <c r="C15" s="2" t="s">
        <v>131</v>
      </c>
      <c r="D15" s="2">
        <v>800</v>
      </c>
    </row>
    <row r="16" spans="1:7" x14ac:dyDescent="0.3">
      <c r="B16" s="2" t="s">
        <v>134</v>
      </c>
      <c r="C16" s="2" t="s">
        <v>133</v>
      </c>
      <c r="D16" s="2">
        <v>150</v>
      </c>
    </row>
  </sheetData>
  <mergeCells count="1">
    <mergeCell ref="A1:E2"/>
  </mergeCells>
  <dataValidations count="2">
    <dataValidation type="list" allowBlank="1" showInputMessage="1" showErrorMessage="1" sqref="C4" xr:uid="{00000000-0002-0000-0F00-000000000000}">
      <formula1>$C$11:$C$16</formula1>
    </dataValidation>
    <dataValidation type="list" allowBlank="1" showInputMessage="1" showErrorMessage="1" sqref="C5" xr:uid="{00000000-0002-0000-0F00-000001000000}">
      <formula1>"ITEMNAME,RATE"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5"/>
  <sheetViews>
    <sheetView workbookViewId="0">
      <selection activeCell="F5" sqref="F5:N10"/>
    </sheetView>
  </sheetViews>
  <sheetFormatPr defaultRowHeight="14.4" x14ac:dyDescent="0.3"/>
  <cols>
    <col min="1" max="1" width="11.44140625" customWidth="1"/>
    <col min="2" max="2" width="20.44140625" customWidth="1"/>
    <col min="3" max="3" width="12.109375" customWidth="1"/>
    <col min="6" max="6" width="18.88671875" customWidth="1"/>
    <col min="7" max="7" width="19.5546875" customWidth="1"/>
    <col min="10" max="10" width="13.5546875" customWidth="1"/>
  </cols>
  <sheetData>
    <row r="1" spans="1:14" ht="23.4" x14ac:dyDescent="0.45">
      <c r="A1" s="66" t="s">
        <v>144</v>
      </c>
      <c r="B1" s="66" t="s">
        <v>145</v>
      </c>
      <c r="C1" s="66" t="s">
        <v>146</v>
      </c>
    </row>
    <row r="2" spans="1:14" ht="23.4" x14ac:dyDescent="0.45">
      <c r="A2" s="66">
        <v>1</v>
      </c>
      <c r="B2" s="66" t="s">
        <v>147</v>
      </c>
      <c r="C2" s="66">
        <v>100</v>
      </c>
      <c r="F2" s="38" t="s">
        <v>148</v>
      </c>
      <c r="G2" s="66" t="s">
        <v>149</v>
      </c>
      <c r="J2" s="38" t="s">
        <v>148</v>
      </c>
      <c r="K2" s="66">
        <v>570</v>
      </c>
    </row>
    <row r="3" spans="1:14" ht="23.4" x14ac:dyDescent="0.45">
      <c r="A3" s="66">
        <v>2</v>
      </c>
      <c r="B3" s="66" t="s">
        <v>150</v>
      </c>
      <c r="C3" s="66">
        <v>200</v>
      </c>
      <c r="F3" s="38" t="s">
        <v>140</v>
      </c>
      <c r="G3" s="38">
        <f>MATCH(G2,B2:B14,0)</f>
        <v>2</v>
      </c>
      <c r="J3" s="38" t="s">
        <v>140</v>
      </c>
      <c r="K3" s="38">
        <f>MATCH(K2,C2:C14,1)</f>
        <v>7</v>
      </c>
    </row>
    <row r="4" spans="1:14" ht="23.4" x14ac:dyDescent="0.45">
      <c r="A4" s="66">
        <v>3</v>
      </c>
      <c r="B4" s="66" t="s">
        <v>151</v>
      </c>
      <c r="C4" s="66">
        <v>300</v>
      </c>
    </row>
    <row r="5" spans="1:14" ht="23.4" x14ac:dyDescent="0.45">
      <c r="A5" s="66">
        <v>4</v>
      </c>
      <c r="B5" s="66" t="s">
        <v>152</v>
      </c>
      <c r="C5" s="66">
        <v>400</v>
      </c>
      <c r="F5" s="170" t="s">
        <v>153</v>
      </c>
      <c r="G5" s="170"/>
      <c r="H5" s="170"/>
      <c r="I5" s="170"/>
      <c r="J5" s="170"/>
      <c r="K5" s="170"/>
      <c r="L5" s="170"/>
      <c r="M5" s="170"/>
      <c r="N5" s="170"/>
    </row>
    <row r="6" spans="1:14" ht="23.4" x14ac:dyDescent="0.45">
      <c r="A6" s="66">
        <v>5</v>
      </c>
      <c r="B6" s="66" t="s">
        <v>154</v>
      </c>
      <c r="C6" s="66">
        <v>500</v>
      </c>
      <c r="F6" s="170"/>
      <c r="G6" s="170"/>
      <c r="H6" s="170"/>
      <c r="I6" s="170"/>
      <c r="J6" s="170"/>
      <c r="K6" s="170"/>
      <c r="L6" s="170"/>
      <c r="M6" s="170"/>
      <c r="N6" s="170"/>
    </row>
    <row r="7" spans="1:14" ht="23.4" x14ac:dyDescent="0.45">
      <c r="A7" s="66">
        <v>6</v>
      </c>
      <c r="B7" s="66" t="s">
        <v>155</v>
      </c>
      <c r="C7" s="66">
        <v>570</v>
      </c>
      <c r="F7" s="170"/>
      <c r="G7" s="170"/>
      <c r="H7" s="170"/>
      <c r="I7" s="170"/>
      <c r="J7" s="170"/>
      <c r="K7" s="170"/>
      <c r="L7" s="170"/>
      <c r="M7" s="170"/>
      <c r="N7" s="170"/>
    </row>
    <row r="8" spans="1:14" ht="23.4" x14ac:dyDescent="0.45">
      <c r="A8" s="66">
        <v>7</v>
      </c>
      <c r="B8" s="66" t="s">
        <v>156</v>
      </c>
      <c r="C8" s="66">
        <v>570</v>
      </c>
      <c r="F8" s="170"/>
      <c r="G8" s="170"/>
      <c r="H8" s="170"/>
      <c r="I8" s="170"/>
      <c r="J8" s="170"/>
      <c r="K8" s="170"/>
      <c r="L8" s="170"/>
      <c r="M8" s="170"/>
      <c r="N8" s="170"/>
    </row>
    <row r="9" spans="1:14" ht="23.4" x14ac:dyDescent="0.45">
      <c r="A9" s="66">
        <v>8</v>
      </c>
      <c r="B9" s="66" t="s">
        <v>157</v>
      </c>
      <c r="C9" s="66">
        <v>800</v>
      </c>
      <c r="F9" s="170"/>
      <c r="G9" s="170"/>
      <c r="H9" s="170"/>
      <c r="I9" s="170"/>
      <c r="J9" s="170"/>
      <c r="K9" s="170"/>
      <c r="L9" s="170"/>
      <c r="M9" s="170"/>
      <c r="N9" s="170"/>
    </row>
    <row r="10" spans="1:14" ht="23.4" x14ac:dyDescent="0.45">
      <c r="A10" s="66">
        <v>9</v>
      </c>
      <c r="B10" s="66" t="s">
        <v>158</v>
      </c>
      <c r="C10" s="66">
        <v>900</v>
      </c>
      <c r="F10" s="170"/>
      <c r="G10" s="170"/>
      <c r="H10" s="170"/>
      <c r="I10" s="170"/>
      <c r="J10" s="170"/>
      <c r="K10" s="170"/>
      <c r="L10" s="170"/>
      <c r="M10" s="170"/>
      <c r="N10" s="170"/>
    </row>
    <row r="11" spans="1:14" ht="23.25" customHeight="1" x14ac:dyDescent="0.45">
      <c r="A11" s="66">
        <v>10</v>
      </c>
      <c r="B11" s="66" t="s">
        <v>159</v>
      </c>
      <c r="C11" s="66">
        <v>1000</v>
      </c>
      <c r="F11" s="171" t="s">
        <v>160</v>
      </c>
      <c r="G11" s="171"/>
      <c r="H11" s="171"/>
      <c r="I11" s="171"/>
      <c r="J11" s="171"/>
      <c r="K11" s="171"/>
      <c r="L11" s="171"/>
      <c r="M11" s="171"/>
      <c r="N11" s="171"/>
    </row>
    <row r="12" spans="1:14" ht="23.4" x14ac:dyDescent="0.45">
      <c r="A12" s="66">
        <v>11</v>
      </c>
      <c r="B12" s="66" t="s">
        <v>161</v>
      </c>
      <c r="C12" s="66">
        <v>1100</v>
      </c>
      <c r="F12" s="171"/>
      <c r="G12" s="171"/>
      <c r="H12" s="171"/>
      <c r="I12" s="171"/>
      <c r="J12" s="171"/>
      <c r="K12" s="171"/>
      <c r="L12" s="171"/>
      <c r="M12" s="171"/>
      <c r="N12" s="171"/>
    </row>
    <row r="13" spans="1:14" ht="23.4" x14ac:dyDescent="0.45">
      <c r="A13" s="66">
        <v>12</v>
      </c>
      <c r="B13" s="66" t="s">
        <v>162</v>
      </c>
      <c r="C13" s="66">
        <v>1200</v>
      </c>
      <c r="F13" s="171"/>
      <c r="G13" s="171"/>
      <c r="H13" s="171"/>
      <c r="I13" s="171"/>
      <c r="J13" s="171"/>
      <c r="K13" s="171"/>
      <c r="L13" s="171"/>
      <c r="M13" s="171"/>
      <c r="N13" s="171"/>
    </row>
    <row r="14" spans="1:14" ht="23.4" x14ac:dyDescent="0.45">
      <c r="A14" s="66">
        <v>13</v>
      </c>
      <c r="B14" s="66" t="s">
        <v>163</v>
      </c>
      <c r="C14" s="66">
        <v>1300</v>
      </c>
      <c r="F14" s="171"/>
      <c r="G14" s="171"/>
      <c r="H14" s="171"/>
      <c r="I14" s="171"/>
      <c r="J14" s="171"/>
      <c r="K14" s="171"/>
      <c r="L14" s="171"/>
      <c r="M14" s="171"/>
      <c r="N14" s="171"/>
    </row>
    <row r="15" spans="1:14" ht="15" customHeight="1" x14ac:dyDescent="0.3">
      <c r="F15" s="171"/>
      <c r="G15" s="171"/>
      <c r="H15" s="171"/>
      <c r="I15" s="171"/>
      <c r="J15" s="171"/>
      <c r="K15" s="171"/>
      <c r="L15" s="171"/>
      <c r="M15" s="171"/>
      <c r="N15" s="171"/>
    </row>
    <row r="16" spans="1:14" ht="15" customHeight="1" x14ac:dyDescent="0.3">
      <c r="F16" s="171"/>
      <c r="G16" s="171"/>
      <c r="H16" s="171"/>
      <c r="I16" s="171"/>
      <c r="J16" s="171"/>
      <c r="K16" s="171"/>
      <c r="L16" s="171"/>
      <c r="M16" s="171"/>
      <c r="N16" s="171"/>
    </row>
    <row r="17" spans="6:14" ht="15" customHeight="1" x14ac:dyDescent="0.3">
      <c r="F17" s="171"/>
      <c r="G17" s="171"/>
      <c r="H17" s="171"/>
      <c r="I17" s="171"/>
      <c r="J17" s="171"/>
      <c r="K17" s="171"/>
      <c r="L17" s="171"/>
      <c r="M17" s="171"/>
      <c r="N17" s="171"/>
    </row>
    <row r="18" spans="6:14" ht="15" customHeight="1" x14ac:dyDescent="0.3">
      <c r="F18" s="171"/>
      <c r="G18" s="171"/>
      <c r="H18" s="171"/>
      <c r="I18" s="171"/>
      <c r="J18" s="171"/>
      <c r="K18" s="171"/>
      <c r="L18" s="171"/>
      <c r="M18" s="171"/>
      <c r="N18" s="171"/>
    </row>
    <row r="19" spans="6:14" ht="15" customHeight="1" x14ac:dyDescent="0.3">
      <c r="F19" s="171"/>
      <c r="G19" s="171"/>
      <c r="H19" s="171"/>
      <c r="I19" s="171"/>
      <c r="J19" s="171"/>
      <c r="K19" s="171"/>
      <c r="L19" s="171"/>
      <c r="M19" s="171"/>
      <c r="N19" s="171"/>
    </row>
    <row r="20" spans="6:14" ht="15" customHeight="1" x14ac:dyDescent="0.3">
      <c r="F20" s="171"/>
      <c r="G20" s="171"/>
      <c r="H20" s="171"/>
      <c r="I20" s="171"/>
      <c r="J20" s="171"/>
      <c r="K20" s="171"/>
      <c r="L20" s="171"/>
      <c r="M20" s="171"/>
      <c r="N20" s="171"/>
    </row>
    <row r="21" spans="6:14" ht="15" customHeight="1" x14ac:dyDescent="0.3">
      <c r="F21" s="171"/>
      <c r="G21" s="171"/>
      <c r="H21" s="171"/>
      <c r="I21" s="171"/>
      <c r="J21" s="171"/>
      <c r="K21" s="171"/>
      <c r="L21" s="171"/>
      <c r="M21" s="171"/>
      <c r="N21" s="171"/>
    </row>
    <row r="22" spans="6:14" ht="15" customHeight="1" x14ac:dyDescent="0.3">
      <c r="F22" s="171"/>
      <c r="G22" s="171"/>
      <c r="H22" s="171"/>
      <c r="I22" s="171"/>
      <c r="J22" s="171"/>
      <c r="K22" s="171"/>
      <c r="L22" s="171"/>
      <c r="M22" s="171"/>
      <c r="N22" s="171"/>
    </row>
    <row r="23" spans="6:14" ht="15" customHeight="1" x14ac:dyDescent="0.3">
      <c r="F23" s="171"/>
      <c r="G23" s="171"/>
      <c r="H23" s="171"/>
      <c r="I23" s="171"/>
      <c r="J23" s="171"/>
      <c r="K23" s="171"/>
      <c r="L23" s="171"/>
      <c r="M23" s="171"/>
      <c r="N23" s="171"/>
    </row>
    <row r="24" spans="6:14" ht="15" customHeight="1" x14ac:dyDescent="0.3">
      <c r="F24" s="171"/>
      <c r="G24" s="171"/>
      <c r="H24" s="171"/>
      <c r="I24" s="171"/>
      <c r="J24" s="171"/>
      <c r="K24" s="171"/>
      <c r="L24" s="171"/>
      <c r="M24" s="171"/>
      <c r="N24" s="171"/>
    </row>
    <row r="25" spans="6:14" ht="15" customHeight="1" x14ac:dyDescent="0.3">
      <c r="F25" s="171"/>
      <c r="G25" s="171"/>
      <c r="H25" s="171"/>
      <c r="I25" s="171"/>
      <c r="J25" s="171"/>
      <c r="K25" s="171"/>
      <c r="L25" s="171"/>
      <c r="M25" s="171"/>
      <c r="N25" s="171"/>
    </row>
    <row r="26" spans="6:14" ht="15" customHeight="1" x14ac:dyDescent="0.3">
      <c r="F26" s="171"/>
      <c r="G26" s="171"/>
      <c r="H26" s="171"/>
      <c r="I26" s="171"/>
      <c r="J26" s="171"/>
      <c r="K26" s="171"/>
      <c r="L26" s="171"/>
      <c r="M26" s="171"/>
      <c r="N26" s="171"/>
    </row>
    <row r="27" spans="6:14" ht="15" customHeight="1" x14ac:dyDescent="0.3">
      <c r="F27" s="171"/>
      <c r="G27" s="171"/>
      <c r="H27" s="171"/>
      <c r="I27" s="171"/>
      <c r="J27" s="171"/>
      <c r="K27" s="171"/>
      <c r="L27" s="171"/>
      <c r="M27" s="171"/>
      <c r="N27" s="171"/>
    </row>
    <row r="28" spans="6:14" ht="15" customHeight="1" x14ac:dyDescent="0.3">
      <c r="F28" s="171"/>
      <c r="G28" s="171"/>
      <c r="H28" s="171"/>
      <c r="I28" s="171"/>
      <c r="J28" s="171"/>
      <c r="K28" s="171"/>
      <c r="L28" s="171"/>
      <c r="M28" s="171"/>
      <c r="N28" s="171"/>
    </row>
    <row r="29" spans="6:14" ht="15" customHeight="1" x14ac:dyDescent="0.3">
      <c r="F29" s="171"/>
      <c r="G29" s="171"/>
      <c r="H29" s="171"/>
      <c r="I29" s="171"/>
      <c r="J29" s="171"/>
      <c r="K29" s="171"/>
      <c r="L29" s="171"/>
      <c r="M29" s="171"/>
      <c r="N29" s="171"/>
    </row>
    <row r="30" spans="6:14" ht="15" customHeight="1" x14ac:dyDescent="0.3">
      <c r="F30" s="171"/>
      <c r="G30" s="171"/>
      <c r="H30" s="171"/>
      <c r="I30" s="171"/>
      <c r="J30" s="171"/>
      <c r="K30" s="171"/>
      <c r="L30" s="171"/>
      <c r="M30" s="171"/>
      <c r="N30" s="171"/>
    </row>
    <row r="31" spans="6:14" ht="15" customHeight="1" x14ac:dyDescent="0.3">
      <c r="F31" s="171"/>
      <c r="G31" s="171"/>
      <c r="H31" s="171"/>
      <c r="I31" s="171"/>
      <c r="J31" s="171"/>
      <c r="K31" s="171"/>
      <c r="L31" s="171"/>
      <c r="M31" s="171"/>
      <c r="N31" s="171"/>
    </row>
    <row r="32" spans="6:14" x14ac:dyDescent="0.3">
      <c r="F32" s="171"/>
      <c r="G32" s="171"/>
      <c r="H32" s="171"/>
      <c r="I32" s="171"/>
      <c r="J32" s="171"/>
      <c r="K32" s="171"/>
      <c r="L32" s="171"/>
      <c r="M32" s="171"/>
      <c r="N32" s="171"/>
    </row>
    <row r="33" spans="6:14" x14ac:dyDescent="0.3">
      <c r="F33" s="171"/>
      <c r="G33" s="171"/>
      <c r="H33" s="171"/>
      <c r="I33" s="171"/>
      <c r="J33" s="171"/>
      <c r="K33" s="171"/>
      <c r="L33" s="171"/>
      <c r="M33" s="171"/>
      <c r="N33" s="171"/>
    </row>
    <row r="34" spans="6:14" x14ac:dyDescent="0.3">
      <c r="F34" s="171"/>
      <c r="G34" s="171"/>
      <c r="H34" s="171"/>
      <c r="I34" s="171"/>
      <c r="J34" s="171"/>
      <c r="K34" s="171"/>
      <c r="L34" s="171"/>
      <c r="M34" s="171"/>
      <c r="N34" s="171"/>
    </row>
    <row r="35" spans="6:14" x14ac:dyDescent="0.3">
      <c r="F35" s="171"/>
      <c r="G35" s="171"/>
      <c r="H35" s="171"/>
      <c r="I35" s="171"/>
      <c r="J35" s="171"/>
      <c r="K35" s="171"/>
      <c r="L35" s="171"/>
      <c r="M35" s="171"/>
      <c r="N35" s="171"/>
    </row>
    <row r="36" spans="6:14" x14ac:dyDescent="0.3">
      <c r="F36" s="171"/>
      <c r="G36" s="171"/>
      <c r="H36" s="171"/>
      <c r="I36" s="171"/>
      <c r="J36" s="171"/>
      <c r="K36" s="171"/>
      <c r="L36" s="171"/>
      <c r="M36" s="171"/>
      <c r="N36" s="171"/>
    </row>
    <row r="37" spans="6:14" x14ac:dyDescent="0.3">
      <c r="F37" s="171"/>
      <c r="G37" s="171"/>
      <c r="H37" s="171"/>
      <c r="I37" s="171"/>
      <c r="J37" s="171"/>
      <c r="K37" s="171"/>
      <c r="L37" s="171"/>
      <c r="M37" s="171"/>
      <c r="N37" s="171"/>
    </row>
    <row r="38" spans="6:14" x14ac:dyDescent="0.3">
      <c r="F38" s="171"/>
      <c r="G38" s="171"/>
      <c r="H38" s="171"/>
      <c r="I38" s="171"/>
      <c r="J38" s="171"/>
      <c r="K38" s="171"/>
      <c r="L38" s="171"/>
      <c r="M38" s="171"/>
      <c r="N38" s="171"/>
    </row>
    <row r="39" spans="6:14" x14ac:dyDescent="0.3">
      <c r="F39" s="171"/>
      <c r="G39" s="171"/>
      <c r="H39" s="171"/>
      <c r="I39" s="171"/>
      <c r="J39" s="171"/>
      <c r="K39" s="171"/>
      <c r="L39" s="171"/>
      <c r="M39" s="171"/>
      <c r="N39" s="171"/>
    </row>
    <row r="40" spans="6:14" x14ac:dyDescent="0.3">
      <c r="F40" s="171"/>
      <c r="G40" s="171"/>
      <c r="H40" s="171"/>
      <c r="I40" s="171"/>
      <c r="J40" s="171"/>
      <c r="K40" s="171"/>
      <c r="L40" s="171"/>
      <c r="M40" s="171"/>
      <c r="N40" s="171"/>
    </row>
    <row r="41" spans="6:14" x14ac:dyDescent="0.3">
      <c r="F41" s="171"/>
      <c r="G41" s="171"/>
      <c r="H41" s="171"/>
      <c r="I41" s="171"/>
      <c r="J41" s="171"/>
      <c r="K41" s="171"/>
      <c r="L41" s="171"/>
      <c r="M41" s="171"/>
      <c r="N41" s="171"/>
    </row>
    <row r="42" spans="6:14" x14ac:dyDescent="0.3">
      <c r="F42" s="171"/>
      <c r="G42" s="171"/>
      <c r="H42" s="171"/>
      <c r="I42" s="171"/>
      <c r="J42" s="171"/>
      <c r="K42" s="171"/>
      <c r="L42" s="171"/>
      <c r="M42" s="171"/>
      <c r="N42" s="171"/>
    </row>
    <row r="43" spans="6:14" x14ac:dyDescent="0.3">
      <c r="F43" s="171"/>
      <c r="G43" s="171"/>
      <c r="H43" s="171"/>
      <c r="I43" s="171"/>
      <c r="J43" s="171"/>
      <c r="K43" s="171"/>
      <c r="L43" s="171"/>
      <c r="M43" s="171"/>
      <c r="N43" s="171"/>
    </row>
    <row r="44" spans="6:14" x14ac:dyDescent="0.3">
      <c r="F44" s="171"/>
      <c r="G44" s="171"/>
      <c r="H44" s="171"/>
      <c r="I44" s="171"/>
      <c r="J44" s="171"/>
      <c r="K44" s="171"/>
      <c r="L44" s="171"/>
      <c r="M44" s="171"/>
      <c r="N44" s="171"/>
    </row>
    <row r="45" spans="6:14" x14ac:dyDescent="0.3">
      <c r="F45" s="171"/>
      <c r="G45" s="171"/>
      <c r="H45" s="171"/>
      <c r="I45" s="171"/>
      <c r="J45" s="171"/>
      <c r="K45" s="171"/>
      <c r="L45" s="171"/>
      <c r="M45" s="171"/>
      <c r="N45" s="171"/>
    </row>
  </sheetData>
  <mergeCells count="2">
    <mergeCell ref="F5:N10"/>
    <mergeCell ref="F11:N4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A71385-2DCE-49A9-AC61-9D7A0CFCA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21</vt:i4>
      </vt:variant>
    </vt:vector>
  </HeadingPairs>
  <TitlesOfParts>
    <vt:vector size="38" baseType="lpstr">
      <vt:lpstr>VLOOKUP</vt:lpstr>
      <vt:lpstr>EMP</vt:lpstr>
      <vt:lpstr>EMP_JOB</vt:lpstr>
      <vt:lpstr>EMP_CONTACT</vt:lpstr>
      <vt:lpstr>EMP_ALL</vt:lpstr>
      <vt:lpstr>AOTO_UPDATE</vt:lpstr>
      <vt:lpstr>RANGELOOKUP</vt:lpstr>
      <vt:lpstr>RANGE_GRADE</vt:lpstr>
      <vt:lpstr>YEAR_OF_SERVICE</vt:lpstr>
      <vt:lpstr>Sheet1</vt:lpstr>
      <vt:lpstr>ifvlookup</vt:lpstr>
      <vt:lpstr>DOUBLE_VLOOKUP</vt:lpstr>
      <vt:lpstr>HLOOKUP</vt:lpstr>
      <vt:lpstr>INDEX</vt:lpstr>
      <vt:lpstr>MATCH</vt:lpstr>
      <vt:lpstr>INDEX&amp;MATCH</vt:lpstr>
      <vt:lpstr>MORE_MATCH</vt:lpstr>
      <vt:lpstr>AVGGRADE</vt:lpstr>
      <vt:lpstr>BTPS</vt:lpstr>
      <vt:lpstr>good</vt:lpstr>
      <vt:lpstr>GOODEMAIL</vt:lpstr>
      <vt:lpstr>GOODLOCATION</vt:lpstr>
      <vt:lpstr>KTPS</vt:lpstr>
      <vt:lpstr>lookup</vt:lpstr>
      <vt:lpstr>Mehphug</vt:lpstr>
      <vt:lpstr>Mehphug_BASIC</vt:lpstr>
      <vt:lpstr>MEHPHUG_COMM</vt:lpstr>
      <vt:lpstr>MEHPHUG_EMP</vt:lpstr>
      <vt:lpstr>Mehphug_grade</vt:lpstr>
      <vt:lpstr>Product_ID</vt:lpstr>
      <vt:lpstr>Product_name</vt:lpstr>
      <vt:lpstr>range2</vt:lpstr>
      <vt:lpstr>SABIR</vt:lpstr>
      <vt:lpstr>saha</vt:lpstr>
      <vt:lpstr>SANGRADE</vt:lpstr>
      <vt:lpstr>STPS</vt:lpstr>
      <vt:lpstr>wil_contact</vt:lpstr>
      <vt:lpstr>wil_emp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ARINDAM GHOSH</dc:creator>
  <cp:lastModifiedBy>SK MEHFOOZ RAHAMAN</cp:lastModifiedBy>
  <dcterms:created xsi:type="dcterms:W3CDTF">2023-06-07T14:39:02Z</dcterms:created>
  <dcterms:modified xsi:type="dcterms:W3CDTF">2025-10-18T07:49:44Z</dcterms:modified>
</cp:coreProperties>
</file>